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workspace\Elektrotechnik\6. Semester\Prozessortechnik\Projekt\Orga\"/>
    </mc:Choice>
  </mc:AlternateContent>
  <xr:revisionPtr revIDLastSave="0" documentId="13_ncr:1_{69760C8C-8E01-4CDC-9110-C62E6A4F7936}" xr6:coauthVersionLast="47" xr6:coauthVersionMax="47" xr10:uidLastSave="{00000000-0000-0000-0000-000000000000}"/>
  <bookViews>
    <workbookView xWindow="-110" yWindow="-110" windowWidth="19420" windowHeight="10300" tabRatio="620" activeTab="1" xr2:uid="{00000000-000D-0000-FFFF-FFFF00000000}"/>
  </bookViews>
  <sheets>
    <sheet name="SprintGoal" sheetId="12" r:id="rId1"/>
    <sheet name="Sprint" sheetId="7" r:id="rId2"/>
    <sheet name="Analysis" sheetId="8" r:id="rId3"/>
    <sheet name="Team Roster" sheetId="5" r:id="rId4"/>
    <sheet name="Capacity" sheetId="6" r:id="rId5"/>
    <sheet name="Blocklist" sheetId="10" r:id="rId6"/>
    <sheet name="IRQ's" sheetId="9" r:id="rId7"/>
    <sheet name="Retrospective" sheetId="11" r:id="rId8"/>
    <sheet name="GeneralBacklog" sheetId="14" r:id="rId9"/>
    <sheet name="individualCapacity" sheetId="13" r:id="rId10"/>
    <sheet name="KanbanBoard" sheetId="15" r:id="rId11"/>
  </sheets>
  <externalReferences>
    <externalReference r:id="rId12"/>
  </externalReferences>
  <definedNames>
    <definedName name="_xlnm._FilterDatabase" localSheetId="1" hidden="1">Sprint!$A$3:$EB$55</definedName>
    <definedName name="Burndown" localSheetId="2">Sprint!$K$4:$EA$56</definedName>
    <definedName name="Burndown">Sprint!$K$4:$EA$56</definedName>
    <definedName name="BurndownColumns" localSheetId="2">Analysis!$E$44</definedName>
    <definedName name="BurndownColumns">Analysis!$E$44</definedName>
    <definedName name="C_Cum">#REF!</definedName>
    <definedName name="CMStatus">'[1]Work Product Plan'!$AQ$309:$AQ$311</definedName>
    <definedName name="CustRel">[1]Autofunctions!$A$2:$A$5</definedName>
    <definedName name="DailyScrumDateModifier" localSheetId="2">Analysis!$E$41</definedName>
    <definedName name="DailyScrumDateModifier">Analysis!$E$41</definedName>
    <definedName name="DistStatus">'[1]Work Product Plan'!$AQ$314:$AQ$316</definedName>
    <definedName name="_xlnm.Print_Area" localSheetId="4">Capacity!$A$4:$AP$33</definedName>
    <definedName name="DTY">[1]Autofunctions!$C$2:$C$8</definedName>
    <definedName name="HoursLeftColumn" localSheetId="2">Analysis!$E$46</definedName>
    <definedName name="HoursLeftColumn">Analysis!$E$46</definedName>
    <definedName name="HoursSpentColumn" localSheetId="2">Analysis!$E$45</definedName>
    <definedName name="HoursSpentColumn">Analysis!$E$45</definedName>
    <definedName name="LastRow">Sprint!#REF!</definedName>
    <definedName name="LeftColumn" localSheetId="2">Analysis!$E$46</definedName>
    <definedName name="LeftColumn">Analysis!$E$46</definedName>
    <definedName name="Members" localSheetId="2">OFFSET('Team Roster'!$D$8,0,0,COUNTA('Team Roster'!$D:$D)-1,1)</definedName>
    <definedName name="Members" localSheetId="1">OFFSET('Team Roster'!$D$8,0,0,COUNTA('Team Roster'!$D:$D)-1,1)</definedName>
    <definedName name="Members">OFFSET('Team Roster'!$D$8,0,0,COUNTA('Team Roster'!$D:$D)-1,1)</definedName>
    <definedName name="q">#REF!</definedName>
    <definedName name="RACI">[1]Autofunctions!$D$2:$D$5</definedName>
    <definedName name="SkipWeekends" localSheetId="2">Analysis!$E$40</definedName>
    <definedName name="SkipWeekends">Analysis!$E$40</definedName>
    <definedName name="SpentColumn" localSheetId="2">Analysis!$E$45</definedName>
    <definedName name="SpentColumn">Analysis!$E$45</definedName>
    <definedName name="SprintDates" localSheetId="2">Sprint!$K$1:$EA$1</definedName>
    <definedName name="SprintDates">Sprint!$K$1:$EA$1</definedName>
    <definedName name="SprintStart">Capacity!$E$3</definedName>
    <definedName name="Start_Date">Capacity!$E$3</definedName>
    <definedName name="StatusColumn" localSheetId="2">Analysis!$E$47</definedName>
    <definedName name="StatusColumn">Analysis!$E$47</definedName>
    <definedName name="StatusTypes" localSheetId="2">Analysis!$A$50:$A$50</definedName>
    <definedName name="StatusTypes">Analysis!$A$50:$A$50</definedName>
    <definedName name="T_Cum">#REF!</definedName>
    <definedName name="TotalEffort" localSheetId="2">Sprint!$EB$4:$EB$56</definedName>
    <definedName name="TotalEffort">Sprint!$EB$4:$EB$56</definedName>
    <definedName name="varix">[1]Autofunctions!$B$2:$B$3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3" i="6" l="1"/>
  <c r="AK14" i="6"/>
  <c r="AK15" i="6"/>
  <c r="AK16" i="6"/>
  <c r="AK17" i="6"/>
  <c r="AK18" i="6"/>
  <c r="AK19" i="6"/>
  <c r="AK9" i="6"/>
  <c r="AK10" i="6"/>
  <c r="AK11" i="6"/>
  <c r="AK12" i="6"/>
  <c r="AK8" i="6"/>
  <c r="L12" i="7" l="1"/>
  <c r="L13" i="7"/>
  <c r="L14" i="7"/>
  <c r="L15" i="7"/>
  <c r="L49" i="7"/>
  <c r="L50" i="7"/>
  <c r="M50" i="7" s="1"/>
  <c r="L51" i="7"/>
  <c r="M51" i="7" s="1"/>
  <c r="L52" i="7"/>
  <c r="L53" i="7"/>
  <c r="O53" i="7" s="1"/>
  <c r="R53" i="7" s="1"/>
  <c r="U53" i="7" s="1"/>
  <c r="X53" i="7" s="1"/>
  <c r="AA53" i="7" s="1"/>
  <c r="AD53" i="7" s="1"/>
  <c r="AG53" i="7" s="1"/>
  <c r="AJ53" i="7" s="1"/>
  <c r="AM53" i="7" s="1"/>
  <c r="AP53" i="7" s="1"/>
  <c r="AS53" i="7" s="1"/>
  <c r="AV53" i="7" s="1"/>
  <c r="AY53" i="7" s="1"/>
  <c r="BB53" i="7" s="1"/>
  <c r="BE53" i="7" s="1"/>
  <c r="BH53" i="7" s="1"/>
  <c r="BK53" i="7" s="1"/>
  <c r="BN53" i="7" s="1"/>
  <c r="BQ53" i="7" s="1"/>
  <c r="BT53" i="7" s="1"/>
  <c r="BW53" i="7" s="1"/>
  <c r="BZ53" i="7" s="1"/>
  <c r="CC53" i="7" s="1"/>
  <c r="CF53" i="7" s="1"/>
  <c r="CI53" i="7" s="1"/>
  <c r="CL53" i="7" s="1"/>
  <c r="CO53" i="7" s="1"/>
  <c r="CR53" i="7" s="1"/>
  <c r="CU53" i="7" s="1"/>
  <c r="I53" i="7" s="1"/>
  <c r="L54" i="7"/>
  <c r="M54" i="7" s="1"/>
  <c r="L55" i="7"/>
  <c r="L46" i="7"/>
  <c r="L45" i="7"/>
  <c r="M45" i="7" s="1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L44" i="7"/>
  <c r="M44" i="7" s="1"/>
  <c r="L43" i="7"/>
  <c r="M43" i="7" s="1"/>
  <c r="O54" i="7" l="1"/>
  <c r="R54" i="7" s="1"/>
  <c r="U54" i="7" s="1"/>
  <c r="X54" i="7" s="1"/>
  <c r="AA54" i="7" s="1"/>
  <c r="AD54" i="7" s="1"/>
  <c r="AG54" i="7" s="1"/>
  <c r="AJ54" i="7" s="1"/>
  <c r="AM54" i="7" s="1"/>
  <c r="AP54" i="7" s="1"/>
  <c r="AS54" i="7" s="1"/>
  <c r="AV54" i="7" s="1"/>
  <c r="AY54" i="7" s="1"/>
  <c r="BB54" i="7" s="1"/>
  <c r="BE54" i="7" s="1"/>
  <c r="BH54" i="7" s="1"/>
  <c r="BK54" i="7" s="1"/>
  <c r="BN54" i="7" s="1"/>
  <c r="BQ54" i="7" s="1"/>
  <c r="BT54" i="7" s="1"/>
  <c r="BW54" i="7" s="1"/>
  <c r="BZ54" i="7" s="1"/>
  <c r="CC54" i="7" s="1"/>
  <c r="CF54" i="7" s="1"/>
  <c r="CI54" i="7" s="1"/>
  <c r="CL54" i="7" s="1"/>
  <c r="CO54" i="7" s="1"/>
  <c r="CR54" i="7" s="1"/>
  <c r="CU54" i="7" s="1"/>
  <c r="I54" i="7" s="1"/>
  <c r="O51" i="7"/>
  <c r="R51" i="7" s="1"/>
  <c r="U51" i="7" s="1"/>
  <c r="X51" i="7" s="1"/>
  <c r="AA51" i="7" s="1"/>
  <c r="AD51" i="7" s="1"/>
  <c r="AG51" i="7" s="1"/>
  <c r="AJ51" i="7" s="1"/>
  <c r="AM51" i="7" s="1"/>
  <c r="AP51" i="7" s="1"/>
  <c r="AS51" i="7" s="1"/>
  <c r="AV51" i="7" s="1"/>
  <c r="AY51" i="7" s="1"/>
  <c r="BB51" i="7" s="1"/>
  <c r="BE51" i="7" s="1"/>
  <c r="BH51" i="7" s="1"/>
  <c r="BK51" i="7" s="1"/>
  <c r="BN51" i="7" s="1"/>
  <c r="BQ51" i="7" s="1"/>
  <c r="BT51" i="7" s="1"/>
  <c r="BW51" i="7" s="1"/>
  <c r="BZ51" i="7" s="1"/>
  <c r="CC51" i="7" s="1"/>
  <c r="CF51" i="7" s="1"/>
  <c r="CI51" i="7" s="1"/>
  <c r="CL51" i="7" s="1"/>
  <c r="CO51" i="7" s="1"/>
  <c r="CR51" i="7" s="1"/>
  <c r="CU51" i="7" s="1"/>
  <c r="I51" i="7" s="1"/>
  <c r="O50" i="7"/>
  <c r="R50" i="7" s="1"/>
  <c r="U50" i="7" s="1"/>
  <c r="X50" i="7" s="1"/>
  <c r="AA50" i="7" s="1"/>
  <c r="AD50" i="7" s="1"/>
  <c r="AG50" i="7" s="1"/>
  <c r="AJ50" i="7" s="1"/>
  <c r="AM50" i="7" s="1"/>
  <c r="AP50" i="7" s="1"/>
  <c r="AS50" i="7" s="1"/>
  <c r="AV50" i="7" s="1"/>
  <c r="AY50" i="7" s="1"/>
  <c r="BB50" i="7" s="1"/>
  <c r="BE50" i="7" s="1"/>
  <c r="BH50" i="7" s="1"/>
  <c r="BK50" i="7" s="1"/>
  <c r="BN50" i="7" s="1"/>
  <c r="BQ50" i="7" s="1"/>
  <c r="BT50" i="7" s="1"/>
  <c r="BW50" i="7" s="1"/>
  <c r="BZ50" i="7" s="1"/>
  <c r="CC50" i="7" s="1"/>
  <c r="CF50" i="7" s="1"/>
  <c r="CI50" i="7" s="1"/>
  <c r="CL50" i="7" s="1"/>
  <c r="CO50" i="7" s="1"/>
  <c r="CR50" i="7" s="1"/>
  <c r="CU50" i="7" s="1"/>
  <c r="I50" i="7" s="1"/>
  <c r="M55" i="7"/>
  <c r="O55" i="7"/>
  <c r="R55" i="7" s="1"/>
  <c r="U55" i="7" s="1"/>
  <c r="X55" i="7" s="1"/>
  <c r="AA55" i="7" s="1"/>
  <c r="AD55" i="7" s="1"/>
  <c r="AG55" i="7" s="1"/>
  <c r="AJ55" i="7" s="1"/>
  <c r="AM55" i="7" s="1"/>
  <c r="AP55" i="7" s="1"/>
  <c r="AS55" i="7" s="1"/>
  <c r="AV55" i="7" s="1"/>
  <c r="AY55" i="7" s="1"/>
  <c r="BB55" i="7" s="1"/>
  <c r="BE55" i="7" s="1"/>
  <c r="BH55" i="7" s="1"/>
  <c r="BK55" i="7" s="1"/>
  <c r="BN55" i="7" s="1"/>
  <c r="BQ55" i="7" s="1"/>
  <c r="BT55" i="7" s="1"/>
  <c r="BW55" i="7" s="1"/>
  <c r="BZ55" i="7" s="1"/>
  <c r="CC55" i="7" s="1"/>
  <c r="CF55" i="7" s="1"/>
  <c r="CI55" i="7" s="1"/>
  <c r="CL55" i="7" s="1"/>
  <c r="CO55" i="7" s="1"/>
  <c r="CR55" i="7" s="1"/>
  <c r="CU55" i="7" s="1"/>
  <c r="I55" i="7" s="1"/>
  <c r="M49" i="7"/>
  <c r="O49" i="7"/>
  <c r="R49" i="7" s="1"/>
  <c r="U49" i="7" s="1"/>
  <c r="X49" i="7" s="1"/>
  <c r="AA49" i="7" s="1"/>
  <c r="AD49" i="7" s="1"/>
  <c r="AG49" i="7" s="1"/>
  <c r="AJ49" i="7" s="1"/>
  <c r="AM49" i="7" s="1"/>
  <c r="AP49" i="7" s="1"/>
  <c r="AS49" i="7" s="1"/>
  <c r="AV49" i="7" s="1"/>
  <c r="AY49" i="7" s="1"/>
  <c r="BB49" i="7" s="1"/>
  <c r="BE49" i="7" s="1"/>
  <c r="BH49" i="7" s="1"/>
  <c r="BK49" i="7" s="1"/>
  <c r="BN49" i="7" s="1"/>
  <c r="BQ49" i="7" s="1"/>
  <c r="BT49" i="7" s="1"/>
  <c r="BW49" i="7" s="1"/>
  <c r="BZ49" i="7" s="1"/>
  <c r="CC49" i="7" s="1"/>
  <c r="CF49" i="7" s="1"/>
  <c r="CI49" i="7" s="1"/>
  <c r="CL49" i="7" s="1"/>
  <c r="CO49" i="7" s="1"/>
  <c r="CR49" i="7" s="1"/>
  <c r="CU49" i="7" s="1"/>
  <c r="I49" i="7" s="1"/>
  <c r="M52" i="7"/>
  <c r="M53" i="7"/>
  <c r="O52" i="7"/>
  <c r="R52" i="7" s="1"/>
  <c r="U52" i="7" s="1"/>
  <c r="X52" i="7" s="1"/>
  <c r="AA52" i="7" s="1"/>
  <c r="AD52" i="7" s="1"/>
  <c r="AG52" i="7" s="1"/>
  <c r="AJ52" i="7" s="1"/>
  <c r="AM52" i="7" s="1"/>
  <c r="AP52" i="7" s="1"/>
  <c r="AS52" i="7" s="1"/>
  <c r="AV52" i="7" s="1"/>
  <c r="AY52" i="7" s="1"/>
  <c r="BB52" i="7" s="1"/>
  <c r="BE52" i="7" s="1"/>
  <c r="BH52" i="7" s="1"/>
  <c r="BK52" i="7" s="1"/>
  <c r="BN52" i="7" s="1"/>
  <c r="BQ52" i="7" s="1"/>
  <c r="BT52" i="7" s="1"/>
  <c r="BW52" i="7" s="1"/>
  <c r="BZ52" i="7" s="1"/>
  <c r="CC52" i="7" s="1"/>
  <c r="CF52" i="7" s="1"/>
  <c r="CI52" i="7" s="1"/>
  <c r="CL52" i="7" s="1"/>
  <c r="CO52" i="7" s="1"/>
  <c r="CR52" i="7" s="1"/>
  <c r="CU52" i="7" s="1"/>
  <c r="I52" i="7" s="1"/>
  <c r="O45" i="7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I45" i="7" s="1"/>
  <c r="O46" i="7"/>
  <c r="R46" i="7" s="1"/>
  <c r="U46" i="7" s="1"/>
  <c r="X46" i="7" s="1"/>
  <c r="AA46" i="7" s="1"/>
  <c r="AD46" i="7" s="1"/>
  <c r="AG46" i="7" s="1"/>
  <c r="AJ46" i="7" s="1"/>
  <c r="AM46" i="7" s="1"/>
  <c r="AP46" i="7" s="1"/>
  <c r="AS46" i="7" s="1"/>
  <c r="AV46" i="7" s="1"/>
  <c r="AY46" i="7" s="1"/>
  <c r="BB46" i="7" s="1"/>
  <c r="BE46" i="7" s="1"/>
  <c r="BH46" i="7" s="1"/>
  <c r="BK46" i="7" s="1"/>
  <c r="BN46" i="7" s="1"/>
  <c r="BQ46" i="7" s="1"/>
  <c r="BT46" i="7" s="1"/>
  <c r="BW46" i="7" s="1"/>
  <c r="BZ46" i="7" s="1"/>
  <c r="CC46" i="7" s="1"/>
  <c r="CF46" i="7" s="1"/>
  <c r="CI46" i="7" s="1"/>
  <c r="CL46" i="7" s="1"/>
  <c r="CO46" i="7" s="1"/>
  <c r="CR46" i="7" s="1"/>
  <c r="CU46" i="7" s="1"/>
  <c r="I46" i="7" s="1"/>
  <c r="M46" i="7"/>
  <c r="O44" i="7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M4" i="7"/>
  <c r="P4" i="7" s="1"/>
  <c r="O43" i="7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I43" i="7" s="1"/>
  <c r="CX44" i="7" l="1"/>
  <c r="DA44" i="7" s="1"/>
  <c r="DD44" i="7" s="1"/>
  <c r="DG44" i="7" s="1"/>
  <c r="DJ44" i="7" s="1"/>
  <c r="DM44" i="7" s="1"/>
  <c r="DP44" i="7" s="1"/>
  <c r="DS44" i="7" s="1"/>
  <c r="DV44" i="7" s="1"/>
  <c r="DY44" i="7" s="1"/>
  <c r="I44" i="7"/>
  <c r="P45" i="7"/>
  <c r="S45" i="7" s="1"/>
  <c r="P54" i="7"/>
  <c r="P51" i="7"/>
  <c r="P55" i="7"/>
  <c r="S55" i="7" s="1"/>
  <c r="P50" i="7"/>
  <c r="P49" i="7"/>
  <c r="P53" i="7"/>
  <c r="S53" i="7" s="1"/>
  <c r="P52" i="7"/>
  <c r="S52" i="7" s="1"/>
  <c r="CX45" i="7"/>
  <c r="DA45" i="7" s="1"/>
  <c r="DD45" i="7" s="1"/>
  <c r="DG45" i="7" s="1"/>
  <c r="DJ45" i="7" s="1"/>
  <c r="DM45" i="7" s="1"/>
  <c r="DP45" i="7" s="1"/>
  <c r="DS45" i="7" s="1"/>
  <c r="DV45" i="7" s="1"/>
  <c r="DY45" i="7" s="1"/>
  <c r="P46" i="7"/>
  <c r="CX46" i="7"/>
  <c r="DA46" i="7" s="1"/>
  <c r="DD46" i="7" s="1"/>
  <c r="DG46" i="7" s="1"/>
  <c r="DJ46" i="7" s="1"/>
  <c r="DM46" i="7" s="1"/>
  <c r="DP46" i="7" s="1"/>
  <c r="DS46" i="7" s="1"/>
  <c r="DV46" i="7" s="1"/>
  <c r="DY46" i="7" s="1"/>
  <c r="P44" i="7"/>
  <c r="CX43" i="7"/>
  <c r="DA43" i="7" s="1"/>
  <c r="DD43" i="7" s="1"/>
  <c r="DG43" i="7" s="1"/>
  <c r="DJ43" i="7" s="1"/>
  <c r="DM43" i="7" s="1"/>
  <c r="DP43" i="7" s="1"/>
  <c r="DS43" i="7" s="1"/>
  <c r="DV43" i="7" s="1"/>
  <c r="DY43" i="7" s="1"/>
  <c r="S4" i="7"/>
  <c r="P43" i="7"/>
  <c r="S54" i="7" l="1"/>
  <c r="V54" i="7" s="1"/>
  <c r="Y54" i="7" s="1"/>
  <c r="V45" i="7"/>
  <c r="Y45" i="7" s="1"/>
  <c r="V55" i="7"/>
  <c r="Y55" i="7" s="1"/>
  <c r="S51" i="7"/>
  <c r="V52" i="7"/>
  <c r="Y52" i="7" s="1"/>
  <c r="AB52" i="7" s="1"/>
  <c r="S50" i="7"/>
  <c r="S49" i="7"/>
  <c r="V49" i="7" s="1"/>
  <c r="Y49" i="7" s="1"/>
  <c r="V53" i="7"/>
  <c r="Y53" i="7" s="1"/>
  <c r="S46" i="7"/>
  <c r="S44" i="7"/>
  <c r="V44" i="7" s="1"/>
  <c r="S43" i="7"/>
  <c r="V43" i="7" s="1"/>
  <c r="V4" i="7"/>
  <c r="Y4" i="7" s="1"/>
  <c r="G25" i="6"/>
  <c r="G24" i="6"/>
  <c r="G23" i="6"/>
  <c r="G22" i="6"/>
  <c r="G21" i="6"/>
  <c r="G20" i="6"/>
  <c r="L48" i="7"/>
  <c r="L47" i="7"/>
  <c r="M4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I42" i="7" s="1"/>
  <c r="L41" i="7"/>
  <c r="M41" i="7" s="1"/>
  <c r="L40" i="7"/>
  <c r="L39" i="7"/>
  <c r="M39" i="7" s="1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I38" i="7" s="1"/>
  <c r="L37" i="7"/>
  <c r="M37" i="7" s="1"/>
  <c r="L36" i="7"/>
  <c r="M36" i="7" s="1"/>
  <c r="L35" i="7"/>
  <c r="L34" i="7"/>
  <c r="M34" i="7" s="1"/>
  <c r="L33" i="7"/>
  <c r="M33" i="7" s="1"/>
  <c r="L32" i="7"/>
  <c r="M32" i="7" s="1"/>
  <c r="L31" i="7"/>
  <c r="O31" i="7" s="1"/>
  <c r="R31" i="7" s="1"/>
  <c r="L30" i="7"/>
  <c r="M30" i="7" s="1"/>
  <c r="L29" i="7"/>
  <c r="O29" i="7" s="1"/>
  <c r="R29" i="7" s="1"/>
  <c r="U29" i="7" s="1"/>
  <c r="L28" i="7"/>
  <c r="M28" i="7" s="1"/>
  <c r="L27" i="7"/>
  <c r="O27" i="7" s="1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I27" i="7" s="1"/>
  <c r="L26" i="7"/>
  <c r="M26" i="7" s="1"/>
  <c r="L25" i="7"/>
  <c r="M25" i="7" s="1"/>
  <c r="L24" i="7"/>
  <c r="M24" i="7" s="1"/>
  <c r="L23" i="7"/>
  <c r="M23" i="7" s="1"/>
  <c r="L22" i="7"/>
  <c r="M22" i="7" s="1"/>
  <c r="L21" i="7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I21" i="7" s="1"/>
  <c r="L20" i="7"/>
  <c r="M20" i="7" s="1"/>
  <c r="L19" i="7"/>
  <c r="M19" i="7" s="1"/>
  <c r="L18" i="7"/>
  <c r="M18" i="7" s="1"/>
  <c r="L17" i="7"/>
  <c r="M17" i="7" s="1"/>
  <c r="L16" i="7"/>
  <c r="M16" i="7" s="1"/>
  <c r="M15" i="7"/>
  <c r="O14" i="7"/>
  <c r="R14" i="7" s="1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I14" i="7" s="1"/>
  <c r="M13" i="7"/>
  <c r="O12" i="7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I12" i="7" s="1"/>
  <c r="L11" i="7"/>
  <c r="M11" i="7" s="1"/>
  <c r="L10" i="7"/>
  <c r="L9" i="7"/>
  <c r="L8" i="7"/>
  <c r="M8" i="7" s="1"/>
  <c r="L7" i="7"/>
  <c r="M7" i="7" s="1"/>
  <c r="L6" i="7"/>
  <c r="O6" i="7" s="1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I6" i="7" s="1"/>
  <c r="L5" i="7"/>
  <c r="O5" i="7" s="1"/>
  <c r="E2" i="6"/>
  <c r="I6" i="6"/>
  <c r="K1" i="7"/>
  <c r="N1" i="7" s="1"/>
  <c r="F20" i="8" s="1"/>
  <c r="P57" i="7"/>
  <c r="S57" i="7" s="1"/>
  <c r="V57" i="7" s="1"/>
  <c r="Y57" i="7" s="1"/>
  <c r="AB57" i="7" s="1"/>
  <c r="AE57" i="7" s="1"/>
  <c r="AH57" i="7" s="1"/>
  <c r="AK57" i="7" s="1"/>
  <c r="AN57" i="7" s="1"/>
  <c r="AQ57" i="7" s="1"/>
  <c r="AT57" i="7" s="1"/>
  <c r="AW57" i="7" s="1"/>
  <c r="AZ57" i="7" s="1"/>
  <c r="BC57" i="7" s="1"/>
  <c r="BF57" i="7" s="1"/>
  <c r="BI57" i="7" s="1"/>
  <c r="BL57" i="7" s="1"/>
  <c r="BO57" i="7" s="1"/>
  <c r="BR57" i="7" s="1"/>
  <c r="BU57" i="7" s="1"/>
  <c r="BX57" i="7" s="1"/>
  <c r="CA57" i="7" s="1"/>
  <c r="CD57" i="7" s="1"/>
  <c r="CG57" i="7" s="1"/>
  <c r="CJ57" i="7" s="1"/>
  <c r="CM57" i="7" s="1"/>
  <c r="CP57" i="7" s="1"/>
  <c r="CS57" i="7" s="1"/>
  <c r="CV57" i="7" s="1"/>
  <c r="CY57" i="7" s="1"/>
  <c r="DB57" i="7" s="1"/>
  <c r="DE57" i="7" s="1"/>
  <c r="DH57" i="7" s="1"/>
  <c r="DK57" i="7" s="1"/>
  <c r="DN57" i="7" s="1"/>
  <c r="DQ57" i="7" s="1"/>
  <c r="DT57" i="7" s="1"/>
  <c r="DW57" i="7" s="1"/>
  <c r="DZ57" i="7" s="1"/>
  <c r="Z61" i="7"/>
  <c r="AC61" i="7"/>
  <c r="AF61" i="7"/>
  <c r="AI61" i="7"/>
  <c r="AL61" i="7"/>
  <c r="AO61" i="7"/>
  <c r="AR61" i="7"/>
  <c r="AU61" i="7"/>
  <c r="AX61" i="7"/>
  <c r="BA61" i="7"/>
  <c r="BD61" i="7"/>
  <c r="BG61" i="7"/>
  <c r="BJ61" i="7"/>
  <c r="BM61" i="7"/>
  <c r="BP61" i="7"/>
  <c r="BS61" i="7"/>
  <c r="BV61" i="7"/>
  <c r="BY61" i="7"/>
  <c r="CB61" i="7"/>
  <c r="CE61" i="7"/>
  <c r="CH61" i="7"/>
  <c r="CK61" i="7"/>
  <c r="CN61" i="7"/>
  <c r="CQ61" i="7"/>
  <c r="CT61" i="7"/>
  <c r="K61" i="7"/>
  <c r="A19" i="8"/>
  <c r="EB56" i="7"/>
  <c r="N61" i="7"/>
  <c r="Q61" i="7"/>
  <c r="T61" i="7"/>
  <c r="W61" i="7"/>
  <c r="CW61" i="7"/>
  <c r="CZ61" i="7"/>
  <c r="DC61" i="7"/>
  <c r="DF61" i="7"/>
  <c r="DI61" i="7"/>
  <c r="DL61" i="7"/>
  <c r="DO61" i="7"/>
  <c r="DR61" i="7"/>
  <c r="DU61" i="7"/>
  <c r="DX61" i="7"/>
  <c r="D2" i="6" l="1"/>
  <c r="AB55" i="7"/>
  <c r="AE55" i="7" s="1"/>
  <c r="V51" i="7"/>
  <c r="Y51" i="7" s="1"/>
  <c r="V50" i="7"/>
  <c r="Y50" i="7" s="1"/>
  <c r="AB49" i="7"/>
  <c r="AB54" i="7"/>
  <c r="AE54" i="7" s="1"/>
  <c r="AB53" i="7"/>
  <c r="AE52" i="7"/>
  <c r="AB45" i="7"/>
  <c r="AE45" i="7" s="1"/>
  <c r="V46" i="7"/>
  <c r="Y46" i="7" s="1"/>
  <c r="AB46" i="7" s="1"/>
  <c r="Y44" i="7"/>
  <c r="AB44" i="7" s="1"/>
  <c r="CX38" i="7"/>
  <c r="DA38" i="7" s="1"/>
  <c r="DD38" i="7" s="1"/>
  <c r="DG38" i="7" s="1"/>
  <c r="DJ38" i="7" s="1"/>
  <c r="DM38" i="7" s="1"/>
  <c r="DP38" i="7" s="1"/>
  <c r="DS38" i="7" s="1"/>
  <c r="DV38" i="7" s="1"/>
  <c r="DY38" i="7" s="1"/>
  <c r="CX6" i="7"/>
  <c r="DA6" i="7" s="1"/>
  <c r="DD6" i="7" s="1"/>
  <c r="DG6" i="7" s="1"/>
  <c r="DJ6" i="7" s="1"/>
  <c r="DM6" i="7" s="1"/>
  <c r="DP6" i="7" s="1"/>
  <c r="DS6" i="7" s="1"/>
  <c r="DV6" i="7" s="1"/>
  <c r="DY6" i="7" s="1"/>
  <c r="CX21" i="7"/>
  <c r="DA21" i="7" s="1"/>
  <c r="DD21" i="7" s="1"/>
  <c r="DG21" i="7" s="1"/>
  <c r="DJ21" i="7" s="1"/>
  <c r="DM21" i="7" s="1"/>
  <c r="DP21" i="7" s="1"/>
  <c r="DS21" i="7" s="1"/>
  <c r="DV21" i="7" s="1"/>
  <c r="DY21" i="7" s="1"/>
  <c r="CX27" i="7"/>
  <c r="DA27" i="7" s="1"/>
  <c r="DD27" i="7" s="1"/>
  <c r="DG27" i="7" s="1"/>
  <c r="DJ27" i="7" s="1"/>
  <c r="DM27" i="7" s="1"/>
  <c r="DP27" i="7" s="1"/>
  <c r="DS27" i="7" s="1"/>
  <c r="DV27" i="7" s="1"/>
  <c r="DY27" i="7" s="1"/>
  <c r="CX42" i="7"/>
  <c r="DA42" i="7" s="1"/>
  <c r="DD42" i="7" s="1"/>
  <c r="DG42" i="7" s="1"/>
  <c r="DJ42" i="7" s="1"/>
  <c r="DM42" i="7" s="1"/>
  <c r="DP42" i="7" s="1"/>
  <c r="DS42" i="7" s="1"/>
  <c r="DV42" i="7" s="1"/>
  <c r="DY42" i="7" s="1"/>
  <c r="CX14" i="7"/>
  <c r="DA14" i="7" s="1"/>
  <c r="DD14" i="7" s="1"/>
  <c r="DG14" i="7" s="1"/>
  <c r="DJ14" i="7" s="1"/>
  <c r="DM14" i="7" s="1"/>
  <c r="DP14" i="7" s="1"/>
  <c r="DS14" i="7" s="1"/>
  <c r="DV14" i="7" s="1"/>
  <c r="DY14" i="7" s="1"/>
  <c r="CX12" i="7"/>
  <c r="DA12" i="7" s="1"/>
  <c r="DD12" i="7" s="1"/>
  <c r="DG12" i="7" s="1"/>
  <c r="DJ12" i="7" s="1"/>
  <c r="DM12" i="7" s="1"/>
  <c r="DP12" i="7" s="1"/>
  <c r="DS12" i="7" s="1"/>
  <c r="DV12" i="7" s="1"/>
  <c r="DY12" i="7" s="1"/>
  <c r="AB4" i="7"/>
  <c r="Y43" i="7"/>
  <c r="O33" i="7"/>
  <c r="R33" i="7" s="1"/>
  <c r="U33" i="7" s="1"/>
  <c r="X33" i="7" s="1"/>
  <c r="U31" i="7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I31" i="7" s="1"/>
  <c r="O39" i="7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I39" i="7" s="1"/>
  <c r="M42" i="7"/>
  <c r="P42" i="7" s="1"/>
  <c r="O37" i="7"/>
  <c r="R37" i="7" s="1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I37" i="7" s="1"/>
  <c r="O30" i="7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I30" i="7" s="1"/>
  <c r="M27" i="7"/>
  <c r="P27" i="7" s="1"/>
  <c r="S27" i="7" s="1"/>
  <c r="O26" i="7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I26" i="7" s="1"/>
  <c r="M12" i="7"/>
  <c r="P12" i="7" s="1"/>
  <c r="S12" i="7" s="1"/>
  <c r="M29" i="7"/>
  <c r="P29" i="7" s="1"/>
  <c r="S29" i="7" s="1"/>
  <c r="V29" i="7" s="1"/>
  <c r="O32" i="7"/>
  <c r="R32" i="7" s="1"/>
  <c r="U32" i="7" s="1"/>
  <c r="X32" i="7" s="1"/>
  <c r="AA32" i="7" s="1"/>
  <c r="AD32" i="7" s="1"/>
  <c r="AG32" i="7" s="1"/>
  <c r="AJ32" i="7" s="1"/>
  <c r="AM32" i="7" s="1"/>
  <c r="AP32" i="7" s="1"/>
  <c r="M5" i="7"/>
  <c r="P5" i="7" s="1"/>
  <c r="O24" i="7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I24" i="7" s="1"/>
  <c r="O8" i="7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I8" i="7" s="1"/>
  <c r="O13" i="7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I13" i="7" s="1"/>
  <c r="M31" i="7"/>
  <c r="P31" i="7" s="1"/>
  <c r="O18" i="7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CU18" i="7" s="1"/>
  <c r="I18" i="7" s="1"/>
  <c r="M38" i="7"/>
  <c r="P38" i="7" s="1"/>
  <c r="O20" i="7"/>
  <c r="R20" i="7" s="1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O25" i="7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I25" i="7" s="1"/>
  <c r="O47" i="7"/>
  <c r="R47" i="7" s="1"/>
  <c r="U47" i="7" s="1"/>
  <c r="X47" i="7" s="1"/>
  <c r="AA47" i="7" s="1"/>
  <c r="AD47" i="7" s="1"/>
  <c r="AG47" i="7" s="1"/>
  <c r="AJ47" i="7" s="1"/>
  <c r="AM47" i="7" s="1"/>
  <c r="AP47" i="7" s="1"/>
  <c r="AS47" i="7" s="1"/>
  <c r="AV47" i="7" s="1"/>
  <c r="AY47" i="7" s="1"/>
  <c r="BB47" i="7" s="1"/>
  <c r="BE47" i="7" s="1"/>
  <c r="BH47" i="7" s="1"/>
  <c r="BK47" i="7" s="1"/>
  <c r="BN47" i="7" s="1"/>
  <c r="BQ47" i="7" s="1"/>
  <c r="BT47" i="7" s="1"/>
  <c r="BW47" i="7" s="1"/>
  <c r="BZ47" i="7" s="1"/>
  <c r="CC47" i="7" s="1"/>
  <c r="CF47" i="7" s="1"/>
  <c r="CI47" i="7" s="1"/>
  <c r="CL47" i="7" s="1"/>
  <c r="CO47" i="7" s="1"/>
  <c r="CR47" i="7" s="1"/>
  <c r="CU47" i="7" s="1"/>
  <c r="I47" i="7" s="1"/>
  <c r="M6" i="7"/>
  <c r="P6" i="7" s="1"/>
  <c r="M21" i="7"/>
  <c r="P21" i="7" s="1"/>
  <c r="O19" i="7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CU19" i="7" s="1"/>
  <c r="I19" i="7" s="1"/>
  <c r="O11" i="7"/>
  <c r="R11" i="7" s="1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I11" i="7" s="1"/>
  <c r="M9" i="7"/>
  <c r="O9" i="7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I9" i="7" s="1"/>
  <c r="O22" i="7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I22" i="7" s="1"/>
  <c r="O7" i="7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I7" i="7" s="1"/>
  <c r="O41" i="7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I41" i="7" s="1"/>
  <c r="O34" i="7"/>
  <c r="P34" i="7" s="1"/>
  <c r="O16" i="7"/>
  <c r="O15" i="7"/>
  <c r="O17" i="7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CU17" i="7" s="1"/>
  <c r="I17" i="7" s="1"/>
  <c r="E20" i="8"/>
  <c r="E23" i="8" s="1"/>
  <c r="Q1" i="7"/>
  <c r="T1" i="7" s="1"/>
  <c r="H20" i="8" s="1"/>
  <c r="H23" i="8" s="1"/>
  <c r="O23" i="7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I23" i="7" s="1"/>
  <c r="O28" i="7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I28" i="7" s="1"/>
  <c r="O36" i="7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I36" i="7" s="1"/>
  <c r="X29" i="7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I29" i="7" s="1"/>
  <c r="I20" i="6"/>
  <c r="P6" i="6"/>
  <c r="P24" i="6" s="1"/>
  <c r="J6" i="6"/>
  <c r="J20" i="6" s="1"/>
  <c r="I23" i="6"/>
  <c r="I22" i="6"/>
  <c r="I24" i="6"/>
  <c r="I25" i="6"/>
  <c r="I21" i="6"/>
  <c r="F23" i="8"/>
  <c r="R5" i="7"/>
  <c r="M10" i="7"/>
  <c r="O10" i="7"/>
  <c r="M14" i="7"/>
  <c r="P14" i="7" s="1"/>
  <c r="M35" i="7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I35" i="7" s="1"/>
  <c r="O40" i="7"/>
  <c r="R40" i="7" s="1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I40" i="7" s="1"/>
  <c r="M40" i="7"/>
  <c r="M48" i="7"/>
  <c r="O48" i="7"/>
  <c r="R48" i="7" s="1"/>
  <c r="U48" i="7" s="1"/>
  <c r="X48" i="7" s="1"/>
  <c r="AA48" i="7" s="1"/>
  <c r="AD48" i="7" s="1"/>
  <c r="AG48" i="7" s="1"/>
  <c r="AJ48" i="7" s="1"/>
  <c r="AM48" i="7" s="1"/>
  <c r="AP48" i="7" s="1"/>
  <c r="AS48" i="7" s="1"/>
  <c r="AV48" i="7" s="1"/>
  <c r="AY48" i="7" s="1"/>
  <c r="BB48" i="7" s="1"/>
  <c r="BE48" i="7" s="1"/>
  <c r="BH48" i="7" s="1"/>
  <c r="BK48" i="7" s="1"/>
  <c r="BN48" i="7" s="1"/>
  <c r="BQ48" i="7" s="1"/>
  <c r="BT48" i="7" s="1"/>
  <c r="BW48" i="7" s="1"/>
  <c r="BZ48" i="7" s="1"/>
  <c r="CC48" i="7" s="1"/>
  <c r="CF48" i="7" s="1"/>
  <c r="CI48" i="7" s="1"/>
  <c r="CL48" i="7" s="1"/>
  <c r="CO48" i="7" s="1"/>
  <c r="CR48" i="7" s="1"/>
  <c r="CU48" i="7" s="1"/>
  <c r="I48" i="7" s="1"/>
  <c r="G18" i="6" l="1"/>
  <c r="AA33" i="7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AH55" i="7"/>
  <c r="AK55" i="7" s="1"/>
  <c r="AB51" i="7"/>
  <c r="AE51" i="7" s="1"/>
  <c r="AB50" i="7"/>
  <c r="AE50" i="7" s="1"/>
  <c r="AE49" i="7"/>
  <c r="AH49" i="7" s="1"/>
  <c r="AH52" i="7"/>
  <c r="AK52" i="7" s="1"/>
  <c r="AE53" i="7"/>
  <c r="AH54" i="7"/>
  <c r="AK54" i="7" s="1"/>
  <c r="AH45" i="7"/>
  <c r="AE46" i="7"/>
  <c r="AH46" i="7" s="1"/>
  <c r="AE44" i="7"/>
  <c r="AH44" i="7" s="1"/>
  <c r="CX11" i="7"/>
  <c r="DA11" i="7" s="1"/>
  <c r="DD11" i="7" s="1"/>
  <c r="DG11" i="7" s="1"/>
  <c r="DJ11" i="7" s="1"/>
  <c r="DM11" i="7" s="1"/>
  <c r="DP11" i="7" s="1"/>
  <c r="DS11" i="7" s="1"/>
  <c r="DV11" i="7" s="1"/>
  <c r="DY11" i="7" s="1"/>
  <c r="CX31" i="7"/>
  <c r="DA31" i="7" s="1"/>
  <c r="DD31" i="7" s="1"/>
  <c r="DG31" i="7" s="1"/>
  <c r="DJ31" i="7" s="1"/>
  <c r="DM31" i="7" s="1"/>
  <c r="DP31" i="7" s="1"/>
  <c r="DS31" i="7" s="1"/>
  <c r="DV31" i="7" s="1"/>
  <c r="DY31" i="7" s="1"/>
  <c r="CX35" i="7"/>
  <c r="DA35" i="7" s="1"/>
  <c r="DD35" i="7" s="1"/>
  <c r="DG35" i="7" s="1"/>
  <c r="DJ35" i="7" s="1"/>
  <c r="DM35" i="7" s="1"/>
  <c r="DP35" i="7" s="1"/>
  <c r="DS35" i="7" s="1"/>
  <c r="DV35" i="7" s="1"/>
  <c r="DY35" i="7" s="1"/>
  <c r="CX40" i="7"/>
  <c r="DA40" i="7" s="1"/>
  <c r="DD40" i="7" s="1"/>
  <c r="DG40" i="7" s="1"/>
  <c r="DJ40" i="7" s="1"/>
  <c r="DM40" i="7" s="1"/>
  <c r="DP40" i="7" s="1"/>
  <c r="DS40" i="7" s="1"/>
  <c r="DV40" i="7" s="1"/>
  <c r="DY40" i="7" s="1"/>
  <c r="CX28" i="7"/>
  <c r="DA28" i="7" s="1"/>
  <c r="DD28" i="7" s="1"/>
  <c r="DG28" i="7" s="1"/>
  <c r="DJ28" i="7" s="1"/>
  <c r="DM28" i="7" s="1"/>
  <c r="DP28" i="7" s="1"/>
  <c r="DS28" i="7" s="1"/>
  <c r="DV28" i="7" s="1"/>
  <c r="DY28" i="7" s="1"/>
  <c r="CX26" i="7"/>
  <c r="DA26" i="7" s="1"/>
  <c r="DD26" i="7" s="1"/>
  <c r="DG26" i="7" s="1"/>
  <c r="DJ26" i="7" s="1"/>
  <c r="DM26" i="7" s="1"/>
  <c r="DP26" i="7" s="1"/>
  <c r="DS26" i="7" s="1"/>
  <c r="DV26" i="7" s="1"/>
  <c r="DY26" i="7" s="1"/>
  <c r="CX36" i="7"/>
  <c r="DA36" i="7" s="1"/>
  <c r="DD36" i="7" s="1"/>
  <c r="DG36" i="7" s="1"/>
  <c r="DJ36" i="7" s="1"/>
  <c r="DM36" i="7" s="1"/>
  <c r="DP36" i="7" s="1"/>
  <c r="DS36" i="7" s="1"/>
  <c r="DV36" i="7" s="1"/>
  <c r="DY36" i="7" s="1"/>
  <c r="CX47" i="7"/>
  <c r="DA47" i="7" s="1"/>
  <c r="DD47" i="7" s="1"/>
  <c r="DG47" i="7" s="1"/>
  <c r="DJ47" i="7" s="1"/>
  <c r="DM47" i="7" s="1"/>
  <c r="DP47" i="7" s="1"/>
  <c r="DS47" i="7" s="1"/>
  <c r="DV47" i="7" s="1"/>
  <c r="DY47" i="7" s="1"/>
  <c r="CX24" i="7"/>
  <c r="DA24" i="7" s="1"/>
  <c r="DD24" i="7" s="1"/>
  <c r="DG24" i="7" s="1"/>
  <c r="DJ24" i="7" s="1"/>
  <c r="DM24" i="7" s="1"/>
  <c r="DP24" i="7" s="1"/>
  <c r="DS24" i="7" s="1"/>
  <c r="DV24" i="7" s="1"/>
  <c r="DY24" i="7" s="1"/>
  <c r="CX37" i="7"/>
  <c r="DA37" i="7" s="1"/>
  <c r="DD37" i="7" s="1"/>
  <c r="DG37" i="7" s="1"/>
  <c r="DJ37" i="7" s="1"/>
  <c r="DM37" i="7" s="1"/>
  <c r="DP37" i="7" s="1"/>
  <c r="DS37" i="7" s="1"/>
  <c r="DV37" i="7" s="1"/>
  <c r="DY37" i="7" s="1"/>
  <c r="CX29" i="7"/>
  <c r="DA29" i="7" s="1"/>
  <c r="DD29" i="7" s="1"/>
  <c r="DG29" i="7" s="1"/>
  <c r="DJ29" i="7" s="1"/>
  <c r="DM29" i="7" s="1"/>
  <c r="DP29" i="7" s="1"/>
  <c r="DS29" i="7" s="1"/>
  <c r="DV29" i="7" s="1"/>
  <c r="DY29" i="7" s="1"/>
  <c r="CX8" i="7"/>
  <c r="DA8" i="7" s="1"/>
  <c r="DD8" i="7" s="1"/>
  <c r="DG8" i="7" s="1"/>
  <c r="DJ8" i="7" s="1"/>
  <c r="DM8" i="7" s="1"/>
  <c r="DP8" i="7" s="1"/>
  <c r="DS8" i="7" s="1"/>
  <c r="DV8" i="7" s="1"/>
  <c r="DY8" i="7" s="1"/>
  <c r="CX30" i="7"/>
  <c r="DA30" i="7" s="1"/>
  <c r="DD30" i="7" s="1"/>
  <c r="DG30" i="7" s="1"/>
  <c r="DJ30" i="7" s="1"/>
  <c r="DM30" i="7" s="1"/>
  <c r="DP30" i="7" s="1"/>
  <c r="DS30" i="7" s="1"/>
  <c r="DV30" i="7" s="1"/>
  <c r="DY30" i="7" s="1"/>
  <c r="CX48" i="7"/>
  <c r="DA48" i="7" s="1"/>
  <c r="DD48" i="7" s="1"/>
  <c r="DG48" i="7" s="1"/>
  <c r="DJ48" i="7" s="1"/>
  <c r="DM48" i="7" s="1"/>
  <c r="DP48" i="7" s="1"/>
  <c r="DS48" i="7" s="1"/>
  <c r="DV48" i="7" s="1"/>
  <c r="DY48" i="7" s="1"/>
  <c r="CX23" i="7"/>
  <c r="DA23" i="7" s="1"/>
  <c r="DD23" i="7" s="1"/>
  <c r="DG23" i="7" s="1"/>
  <c r="DJ23" i="7" s="1"/>
  <c r="DM23" i="7" s="1"/>
  <c r="DP23" i="7" s="1"/>
  <c r="DS23" i="7" s="1"/>
  <c r="DV23" i="7" s="1"/>
  <c r="DY23" i="7" s="1"/>
  <c r="CX41" i="7"/>
  <c r="DA41" i="7" s="1"/>
  <c r="DD41" i="7" s="1"/>
  <c r="DG41" i="7" s="1"/>
  <c r="DJ41" i="7" s="1"/>
  <c r="DM41" i="7" s="1"/>
  <c r="DP41" i="7" s="1"/>
  <c r="DS41" i="7" s="1"/>
  <c r="DV41" i="7" s="1"/>
  <c r="DY41" i="7" s="1"/>
  <c r="CX20" i="7"/>
  <c r="DA20" i="7" s="1"/>
  <c r="DD20" i="7" s="1"/>
  <c r="DG20" i="7" s="1"/>
  <c r="DJ20" i="7" s="1"/>
  <c r="DM20" i="7" s="1"/>
  <c r="DP20" i="7" s="1"/>
  <c r="DS20" i="7" s="1"/>
  <c r="DV20" i="7" s="1"/>
  <c r="DY20" i="7" s="1"/>
  <c r="I20" i="7"/>
  <c r="CX13" i="7"/>
  <c r="DA13" i="7" s="1"/>
  <c r="DD13" i="7" s="1"/>
  <c r="DG13" i="7" s="1"/>
  <c r="DJ13" i="7" s="1"/>
  <c r="DM13" i="7" s="1"/>
  <c r="DP13" i="7" s="1"/>
  <c r="DS13" i="7" s="1"/>
  <c r="DV13" i="7" s="1"/>
  <c r="DY13" i="7" s="1"/>
  <c r="CX39" i="7"/>
  <c r="DA39" i="7" s="1"/>
  <c r="DD39" i="7" s="1"/>
  <c r="DG39" i="7" s="1"/>
  <c r="DJ39" i="7" s="1"/>
  <c r="DM39" i="7" s="1"/>
  <c r="DP39" i="7" s="1"/>
  <c r="DS39" i="7" s="1"/>
  <c r="DV39" i="7" s="1"/>
  <c r="DY39" i="7" s="1"/>
  <c r="AE4" i="7"/>
  <c r="AB43" i="7"/>
  <c r="AE43" i="7" s="1"/>
  <c r="CX25" i="7"/>
  <c r="DA25" i="7" s="1"/>
  <c r="DD25" i="7" s="1"/>
  <c r="DG25" i="7" s="1"/>
  <c r="DJ25" i="7" s="1"/>
  <c r="DM25" i="7" s="1"/>
  <c r="DP25" i="7" s="1"/>
  <c r="DS25" i="7" s="1"/>
  <c r="DV25" i="7" s="1"/>
  <c r="DY25" i="7" s="1"/>
  <c r="P33" i="7"/>
  <c r="S33" i="7" s="1"/>
  <c r="V33" i="7" s="1"/>
  <c r="P39" i="7"/>
  <c r="S39" i="7" s="1"/>
  <c r="P7" i="7"/>
  <c r="S7" i="7" s="1"/>
  <c r="P24" i="7"/>
  <c r="S24" i="7" s="1"/>
  <c r="V24" i="7" s="1"/>
  <c r="P26" i="7"/>
  <c r="S26" i="7" s="1"/>
  <c r="V26" i="7" s="1"/>
  <c r="Y26" i="7" s="1"/>
  <c r="P37" i="7"/>
  <c r="S37" i="7" s="1"/>
  <c r="V37" i="7" s="1"/>
  <c r="AS32" i="7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I32" i="7" s="1"/>
  <c r="P30" i="7"/>
  <c r="S30" i="7" s="1"/>
  <c r="P25" i="7"/>
  <c r="S25" i="7" s="1"/>
  <c r="P8" i="7"/>
  <c r="S8" i="7" s="1"/>
  <c r="P47" i="7"/>
  <c r="S47" i="7" s="1"/>
  <c r="P19" i="7"/>
  <c r="S19" i="7" s="1"/>
  <c r="P18" i="7"/>
  <c r="S18" i="7" s="1"/>
  <c r="P32" i="7"/>
  <c r="S32" i="7" s="1"/>
  <c r="P9" i="7"/>
  <c r="S9" i="7" s="1"/>
  <c r="V9" i="7" s="1"/>
  <c r="S31" i="7"/>
  <c r="V31" i="7" s="1"/>
  <c r="Y31" i="7" s="1"/>
  <c r="AB31" i="7" s="1"/>
  <c r="S5" i="7"/>
  <c r="R34" i="7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I34" i="7" s="1"/>
  <c r="P13" i="7"/>
  <c r="S13" i="7" s="1"/>
  <c r="V13" i="7" s="1"/>
  <c r="P20" i="7"/>
  <c r="S20" i="7" s="1"/>
  <c r="P11" i="7"/>
  <c r="S11" i="7" s="1"/>
  <c r="V11" i="7" s="1"/>
  <c r="Y29" i="7"/>
  <c r="AB29" i="7" s="1"/>
  <c r="P22" i="7"/>
  <c r="S22" i="7" s="1"/>
  <c r="P28" i="7"/>
  <c r="S28" i="7" s="1"/>
  <c r="S6" i="7"/>
  <c r="V6" i="7" s="1"/>
  <c r="Y6" i="7" s="1"/>
  <c r="CX22" i="7"/>
  <c r="DA22" i="7" s="1"/>
  <c r="DD22" i="7" s="1"/>
  <c r="DG22" i="7" s="1"/>
  <c r="DJ22" i="7" s="1"/>
  <c r="DM22" i="7" s="1"/>
  <c r="DP22" i="7" s="1"/>
  <c r="DS22" i="7" s="1"/>
  <c r="DV22" i="7" s="1"/>
  <c r="DY22" i="7" s="1"/>
  <c r="CX9" i="7"/>
  <c r="DA9" i="7" s="1"/>
  <c r="DD9" i="7" s="1"/>
  <c r="DG9" i="7" s="1"/>
  <c r="DJ9" i="7" s="1"/>
  <c r="DM9" i="7" s="1"/>
  <c r="DP9" i="7" s="1"/>
  <c r="DS9" i="7" s="1"/>
  <c r="DV9" i="7" s="1"/>
  <c r="DY9" i="7" s="1"/>
  <c r="CX7" i="7"/>
  <c r="DA7" i="7" s="1"/>
  <c r="DD7" i="7" s="1"/>
  <c r="DG7" i="7" s="1"/>
  <c r="DJ7" i="7" s="1"/>
  <c r="DM7" i="7" s="1"/>
  <c r="DP7" i="7" s="1"/>
  <c r="DS7" i="7" s="1"/>
  <c r="DV7" i="7" s="1"/>
  <c r="DY7" i="7" s="1"/>
  <c r="J23" i="6"/>
  <c r="J25" i="6"/>
  <c r="J24" i="6"/>
  <c r="J21" i="6"/>
  <c r="W1" i="7"/>
  <c r="Z1" i="7" s="1"/>
  <c r="G20" i="8"/>
  <c r="G23" i="8" s="1"/>
  <c r="H24" i="8" s="1"/>
  <c r="H27" i="8" s="1"/>
  <c r="E22" i="8"/>
  <c r="P15" i="7"/>
  <c r="R15" i="7"/>
  <c r="Q6" i="6"/>
  <c r="P22" i="6"/>
  <c r="R16" i="7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CU16" i="7" s="1"/>
  <c r="I16" i="7" s="1"/>
  <c r="P16" i="7"/>
  <c r="P17" i="7"/>
  <c r="P36" i="7"/>
  <c r="S36" i="7" s="1"/>
  <c r="P41" i="7"/>
  <c r="E24" i="8"/>
  <c r="E27" i="8" s="1"/>
  <c r="P20" i="6"/>
  <c r="P23" i="7"/>
  <c r="S23" i="7" s="1"/>
  <c r="S38" i="7"/>
  <c r="W6" i="6"/>
  <c r="AD6" i="6" s="1"/>
  <c r="AE6" i="6" s="1"/>
  <c r="P21" i="6"/>
  <c r="P25" i="6"/>
  <c r="P23" i="6"/>
  <c r="K6" i="6"/>
  <c r="J22" i="6"/>
  <c r="S42" i="7"/>
  <c r="V42" i="7" s="1"/>
  <c r="P48" i="7"/>
  <c r="S48" i="7" s="1"/>
  <c r="P35" i="7"/>
  <c r="S35" i="7" s="1"/>
  <c r="P10" i="7"/>
  <c r="E31" i="8"/>
  <c r="E35" i="8"/>
  <c r="P40" i="7"/>
  <c r="S40" i="7" s="1"/>
  <c r="V40" i="7" s="1"/>
  <c r="R10" i="7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F22" i="8"/>
  <c r="V12" i="7"/>
  <c r="Y12" i="7" s="1"/>
  <c r="V27" i="7"/>
  <c r="E36" i="8"/>
  <c r="S21" i="7"/>
  <c r="V21" i="7" s="1"/>
  <c r="S14" i="7"/>
  <c r="V14" i="7" s="1"/>
  <c r="U5" i="7"/>
  <c r="E37" i="8"/>
  <c r="F24" i="8"/>
  <c r="F27" i="8" s="1"/>
  <c r="AE25" i="6" l="1"/>
  <c r="AE24" i="6"/>
  <c r="AE21" i="6"/>
  <c r="AE23" i="6"/>
  <c r="AE22" i="6"/>
  <c r="AE20" i="6"/>
  <c r="AF6" i="6"/>
  <c r="G16" i="6"/>
  <c r="CX33" i="7"/>
  <c r="DA33" i="7" s="1"/>
  <c r="DD33" i="7" s="1"/>
  <c r="DG33" i="7" s="1"/>
  <c r="DJ33" i="7" s="1"/>
  <c r="DM33" i="7" s="1"/>
  <c r="DP33" i="7" s="1"/>
  <c r="DS33" i="7" s="1"/>
  <c r="DV33" i="7" s="1"/>
  <c r="DY33" i="7" s="1"/>
  <c r="I33" i="7"/>
  <c r="G19" i="6"/>
  <c r="I10" i="7"/>
  <c r="AN52" i="7"/>
  <c r="AQ52" i="7" s="1"/>
  <c r="AN54" i="7"/>
  <c r="AQ54" i="7" s="1"/>
  <c r="AN55" i="7"/>
  <c r="AQ55" i="7" s="1"/>
  <c r="AH51" i="7"/>
  <c r="AK51" i="7" s="1"/>
  <c r="AK49" i="7"/>
  <c r="AH53" i="7"/>
  <c r="AH50" i="7"/>
  <c r="AK45" i="7"/>
  <c r="AK46" i="7"/>
  <c r="AK44" i="7"/>
  <c r="CX32" i="7"/>
  <c r="DA32" i="7" s="1"/>
  <c r="DD32" i="7" s="1"/>
  <c r="DG32" i="7" s="1"/>
  <c r="DJ32" i="7" s="1"/>
  <c r="DM32" i="7" s="1"/>
  <c r="DP32" i="7" s="1"/>
  <c r="DS32" i="7" s="1"/>
  <c r="DV32" i="7" s="1"/>
  <c r="DY32" i="7" s="1"/>
  <c r="CX34" i="7"/>
  <c r="DA34" i="7" s="1"/>
  <c r="DD34" i="7" s="1"/>
  <c r="DG34" i="7" s="1"/>
  <c r="DJ34" i="7" s="1"/>
  <c r="DM34" i="7" s="1"/>
  <c r="DP34" i="7" s="1"/>
  <c r="DS34" i="7" s="1"/>
  <c r="DV34" i="7" s="1"/>
  <c r="DY34" i="7" s="1"/>
  <c r="CX10" i="7"/>
  <c r="DA10" i="7" s="1"/>
  <c r="DD10" i="7" s="1"/>
  <c r="DG10" i="7" s="1"/>
  <c r="DJ10" i="7" s="1"/>
  <c r="DM10" i="7" s="1"/>
  <c r="DP10" i="7" s="1"/>
  <c r="DS10" i="7" s="1"/>
  <c r="DV10" i="7" s="1"/>
  <c r="DY10" i="7" s="1"/>
  <c r="AH4" i="7"/>
  <c r="AH43" i="7"/>
  <c r="Y33" i="7"/>
  <c r="AB33" i="7" s="1"/>
  <c r="V39" i="7"/>
  <c r="Y39" i="7" s="1"/>
  <c r="AB26" i="7"/>
  <c r="AE26" i="7" s="1"/>
  <c r="AB6" i="7"/>
  <c r="AE6" i="7" s="1"/>
  <c r="AH6" i="7" s="1"/>
  <c r="Y37" i="7"/>
  <c r="Y24" i="7"/>
  <c r="AB24" i="7" s="1"/>
  <c r="V32" i="7"/>
  <c r="Y32" i="7" s="1"/>
  <c r="V30" i="7"/>
  <c r="Y30" i="7" s="1"/>
  <c r="V25" i="7"/>
  <c r="Y25" i="7" s="1"/>
  <c r="AB25" i="7" s="1"/>
  <c r="AE25" i="7" s="1"/>
  <c r="AH25" i="7" s="1"/>
  <c r="V19" i="7"/>
  <c r="Y19" i="7" s="1"/>
  <c r="AB19" i="7" s="1"/>
  <c r="V18" i="7"/>
  <c r="Y18" i="7" s="1"/>
  <c r="AB18" i="7" s="1"/>
  <c r="AE18" i="7" s="1"/>
  <c r="V8" i="7"/>
  <c r="Y8" i="7" s="1"/>
  <c r="V23" i="7"/>
  <c r="Y23" i="7" s="1"/>
  <c r="S34" i="7"/>
  <c r="V34" i="7" s="1"/>
  <c r="Y34" i="7" s="1"/>
  <c r="V22" i="7"/>
  <c r="Y22" i="7" s="1"/>
  <c r="AB22" i="7" s="1"/>
  <c r="AE22" i="7" s="1"/>
  <c r="V47" i="7"/>
  <c r="Y47" i="7" s="1"/>
  <c r="V5" i="7"/>
  <c r="Y9" i="7"/>
  <c r="AB9" i="7" s="1"/>
  <c r="AE9" i="7" s="1"/>
  <c r="AE31" i="7"/>
  <c r="AH31" i="7" s="1"/>
  <c r="AK31" i="7" s="1"/>
  <c r="AN31" i="7" s="1"/>
  <c r="V36" i="7"/>
  <c r="Y36" i="7" s="1"/>
  <c r="V20" i="7"/>
  <c r="Y20" i="7" s="1"/>
  <c r="AB20" i="7" s="1"/>
  <c r="S41" i="7"/>
  <c r="V41" i="7" s="1"/>
  <c r="Y41" i="7" s="1"/>
  <c r="Y11" i="7"/>
  <c r="AB11" i="7" s="1"/>
  <c r="AE11" i="7" s="1"/>
  <c r="AE29" i="7"/>
  <c r="AH29" i="7" s="1"/>
  <c r="AK29" i="7" s="1"/>
  <c r="AN29" i="7" s="1"/>
  <c r="V28" i="7"/>
  <c r="Y28" i="7" s="1"/>
  <c r="F37" i="8"/>
  <c r="F36" i="8"/>
  <c r="E28" i="8"/>
  <c r="F28" i="8"/>
  <c r="G13" i="6"/>
  <c r="I20" i="8"/>
  <c r="I23" i="8" s="1"/>
  <c r="Q20" i="6"/>
  <c r="Q21" i="6"/>
  <c r="Q25" i="6"/>
  <c r="Q22" i="6"/>
  <c r="Q23" i="6"/>
  <c r="R6" i="6"/>
  <c r="Q24" i="6"/>
  <c r="G24" i="8"/>
  <c r="G27" i="8" s="1"/>
  <c r="S15" i="7"/>
  <c r="U15" i="7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CU15" i="7" s="1"/>
  <c r="G22" i="8"/>
  <c r="F31" i="8"/>
  <c r="E25" i="8"/>
  <c r="S16" i="7"/>
  <c r="V16" i="7" s="1"/>
  <c r="Y16" i="7" s="1"/>
  <c r="S17" i="7"/>
  <c r="V17" i="7" s="1"/>
  <c r="Y17" i="7" s="1"/>
  <c r="AB17" i="7" s="1"/>
  <c r="X6" i="6"/>
  <c r="AB12" i="7"/>
  <c r="AE12" i="7" s="1"/>
  <c r="F35" i="8"/>
  <c r="L6" i="6"/>
  <c r="K24" i="6"/>
  <c r="K20" i="6"/>
  <c r="K25" i="6"/>
  <c r="K23" i="6"/>
  <c r="K22" i="6"/>
  <c r="K21" i="6"/>
  <c r="Y40" i="7"/>
  <c r="AB40" i="7" s="1"/>
  <c r="AE40" i="7" s="1"/>
  <c r="Y13" i="7"/>
  <c r="AB13" i="7" s="1"/>
  <c r="V38" i="7"/>
  <c r="J20" i="8"/>
  <c r="AC1" i="7"/>
  <c r="Y27" i="7"/>
  <c r="F25" i="8"/>
  <c r="Y14" i="7"/>
  <c r="Y21" i="7"/>
  <c r="S10" i="7"/>
  <c r="V35" i="7"/>
  <c r="V48" i="7"/>
  <c r="Y42" i="7"/>
  <c r="X5" i="7"/>
  <c r="V7" i="7"/>
  <c r="Y7" i="7" s="1"/>
  <c r="AG6" i="6" l="1"/>
  <c r="AF25" i="6"/>
  <c r="AF20" i="6"/>
  <c r="AF22" i="6"/>
  <c r="AF24" i="6"/>
  <c r="AF21" i="6"/>
  <c r="AF23" i="6"/>
  <c r="I15" i="7"/>
  <c r="G9" i="6"/>
  <c r="G17" i="6"/>
  <c r="AN46" i="7"/>
  <c r="AQ46" i="7" s="1"/>
  <c r="AN44" i="7"/>
  <c r="AN49" i="7"/>
  <c r="AQ49" i="7" s="1"/>
  <c r="AT49" i="7" s="1"/>
  <c r="AN45" i="7"/>
  <c r="AQ45" i="7" s="1"/>
  <c r="AT45" i="7" s="1"/>
  <c r="AT55" i="7"/>
  <c r="AW55" i="7" s="1"/>
  <c r="AZ55" i="7" s="1"/>
  <c r="BC55" i="7" s="1"/>
  <c r="BF55" i="7" s="1"/>
  <c r="BI55" i="7" s="1"/>
  <c r="BL55" i="7" s="1"/>
  <c r="BO55" i="7" s="1"/>
  <c r="BR55" i="7" s="1"/>
  <c r="BU55" i="7" s="1"/>
  <c r="BX55" i="7" s="1"/>
  <c r="CA55" i="7" s="1"/>
  <c r="CD55" i="7" s="1"/>
  <c r="CG55" i="7" s="1"/>
  <c r="CJ55" i="7" s="1"/>
  <c r="CM55" i="7" s="1"/>
  <c r="CP55" i="7" s="1"/>
  <c r="CS55" i="7" s="1"/>
  <c r="CV55" i="7" s="1"/>
  <c r="AN51" i="7"/>
  <c r="AQ51" i="7" s="1"/>
  <c r="AK53" i="7"/>
  <c r="AT52" i="7"/>
  <c r="AW52" i="7" s="1"/>
  <c r="AZ52" i="7" s="1"/>
  <c r="BC52" i="7" s="1"/>
  <c r="BF52" i="7" s="1"/>
  <c r="BI52" i="7" s="1"/>
  <c r="BL52" i="7" s="1"/>
  <c r="AT54" i="7"/>
  <c r="AW54" i="7" s="1"/>
  <c r="AZ54" i="7" s="1"/>
  <c r="BC54" i="7" s="1"/>
  <c r="BF54" i="7" s="1"/>
  <c r="BI54" i="7" s="1"/>
  <c r="BL54" i="7" s="1"/>
  <c r="BO54" i="7" s="1"/>
  <c r="BR54" i="7" s="1"/>
  <c r="BU54" i="7" s="1"/>
  <c r="BX54" i="7" s="1"/>
  <c r="CA54" i="7" s="1"/>
  <c r="CD54" i="7" s="1"/>
  <c r="CG54" i="7" s="1"/>
  <c r="CJ54" i="7" s="1"/>
  <c r="CM54" i="7" s="1"/>
  <c r="CP54" i="7" s="1"/>
  <c r="CS54" i="7" s="1"/>
  <c r="CV54" i="7" s="1"/>
  <c r="AK50" i="7"/>
  <c r="G14" i="6"/>
  <c r="AK4" i="7"/>
  <c r="AN4" i="7" s="1"/>
  <c r="AK43" i="7"/>
  <c r="AB39" i="7"/>
  <c r="AE39" i="7" s="1"/>
  <c r="AH26" i="7"/>
  <c r="AK26" i="7" s="1"/>
  <c r="AB47" i="7"/>
  <c r="AE47" i="7" s="1"/>
  <c r="AK6" i="7"/>
  <c r="AN6" i="7" s="1"/>
  <c r="AB8" i="7"/>
  <c r="AE8" i="7" s="1"/>
  <c r="AB30" i="7"/>
  <c r="AE30" i="7" s="1"/>
  <c r="AB36" i="7"/>
  <c r="AE36" i="7" s="1"/>
  <c r="AB37" i="7"/>
  <c r="AB32" i="7"/>
  <c r="AE32" i="7" s="1"/>
  <c r="AH32" i="7" s="1"/>
  <c r="AH22" i="7"/>
  <c r="AK22" i="7" s="1"/>
  <c r="AB34" i="7"/>
  <c r="AE34" i="7" s="1"/>
  <c r="AE20" i="7"/>
  <c r="AH20" i="7" s="1"/>
  <c r="AH11" i="7"/>
  <c r="AK11" i="7" s="1"/>
  <c r="AN11" i="7" s="1"/>
  <c r="AB28" i="7"/>
  <c r="AE28" i="7" s="1"/>
  <c r="AH28" i="7" s="1"/>
  <c r="AH18" i="7"/>
  <c r="AK18" i="7" s="1"/>
  <c r="G37" i="8"/>
  <c r="AK25" i="7"/>
  <c r="AN25" i="7" s="1"/>
  <c r="AQ25" i="7" s="1"/>
  <c r="CX15" i="7"/>
  <c r="DA15" i="7" s="1"/>
  <c r="DD15" i="7" s="1"/>
  <c r="DG15" i="7" s="1"/>
  <c r="DJ15" i="7" s="1"/>
  <c r="DM15" i="7" s="1"/>
  <c r="DP15" i="7" s="1"/>
  <c r="DS15" i="7" s="1"/>
  <c r="DV15" i="7" s="1"/>
  <c r="DY15" i="7" s="1"/>
  <c r="G10" i="6"/>
  <c r="H22" i="8"/>
  <c r="H28" i="8" s="1"/>
  <c r="V15" i="7"/>
  <c r="Y15" i="7" s="1"/>
  <c r="AB15" i="7" s="1"/>
  <c r="AE15" i="7" s="1"/>
  <c r="G28" i="8"/>
  <c r="I24" i="8"/>
  <c r="I27" i="8" s="1"/>
  <c r="S6" i="6"/>
  <c r="R24" i="6"/>
  <c r="R21" i="6"/>
  <c r="R25" i="6"/>
  <c r="R22" i="6"/>
  <c r="R20" i="6"/>
  <c r="R23" i="6"/>
  <c r="G25" i="8"/>
  <c r="AE17" i="7"/>
  <c r="AH17" i="7" s="1"/>
  <c r="G31" i="8"/>
  <c r="G35" i="8"/>
  <c r="AB16" i="7"/>
  <c r="AE16" i="7" s="1"/>
  <c r="AH16" i="7" s="1"/>
  <c r="AE13" i="7"/>
  <c r="AH13" i="7" s="1"/>
  <c r="AK13" i="7" s="1"/>
  <c r="AB41" i="7"/>
  <c r="AE41" i="7" s="1"/>
  <c r="L22" i="6"/>
  <c r="L24" i="6"/>
  <c r="L23" i="6"/>
  <c r="M6" i="6"/>
  <c r="L21" i="6"/>
  <c r="L25" i="6"/>
  <c r="L20" i="6"/>
  <c r="AB23" i="7"/>
  <c r="X22" i="6"/>
  <c r="Y6" i="6"/>
  <c r="X21" i="6"/>
  <c r="X23" i="6"/>
  <c r="X20" i="6"/>
  <c r="X25" i="6"/>
  <c r="X24" i="6"/>
  <c r="G36" i="8"/>
  <c r="V10" i="7"/>
  <c r="Y38" i="7"/>
  <c r="K20" i="8"/>
  <c r="AF1" i="7"/>
  <c r="J23" i="8"/>
  <c r="J24" i="8" s="1"/>
  <c r="J27" i="8" s="1"/>
  <c r="AH9" i="7"/>
  <c r="AK9" i="7" s="1"/>
  <c r="AQ31" i="7"/>
  <c r="AQ29" i="7"/>
  <c r="AT29" i="7" s="1"/>
  <c r="AA5" i="7"/>
  <c r="I22" i="8"/>
  <c r="Y35" i="7"/>
  <c r="AB35" i="7" s="1"/>
  <c r="AB14" i="7"/>
  <c r="AE14" i="7" s="1"/>
  <c r="AH14" i="7" s="1"/>
  <c r="AB27" i="7"/>
  <c r="AE27" i="7" s="1"/>
  <c r="AB7" i="7"/>
  <c r="AE33" i="7"/>
  <c r="AH33" i="7" s="1"/>
  <c r="AB21" i="7"/>
  <c r="AH40" i="7"/>
  <c r="AK40" i="7" s="1"/>
  <c r="AB42" i="7"/>
  <c r="AE42" i="7" s="1"/>
  <c r="AE24" i="7"/>
  <c r="AH12" i="7"/>
  <c r="AE19" i="7"/>
  <c r="Y48" i="7"/>
  <c r="Y5" i="7"/>
  <c r="AG25" i="6" l="1"/>
  <c r="AG24" i="6"/>
  <c r="AG23" i="6"/>
  <c r="AG22" i="6"/>
  <c r="AG21" i="6"/>
  <c r="AG20" i="6"/>
  <c r="AH6" i="6"/>
  <c r="G55" i="7"/>
  <c r="G54" i="7"/>
  <c r="AQ44" i="7"/>
  <c r="AT44" i="7" s="1"/>
  <c r="AW44" i="7" s="1"/>
  <c r="AZ44" i="7" s="1"/>
  <c r="AN43" i="7"/>
  <c r="AQ43" i="7" s="1"/>
  <c r="AT43" i="7" s="1"/>
  <c r="AW43" i="7" s="1"/>
  <c r="AZ43" i="7" s="1"/>
  <c r="BC43" i="7" s="1"/>
  <c r="BF43" i="7" s="1"/>
  <c r="BI43" i="7" s="1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CV43" i="7" s="1"/>
  <c r="CY43" i="7" s="1"/>
  <c r="DB43" i="7" s="1"/>
  <c r="DE43" i="7" s="1"/>
  <c r="DH43" i="7" s="1"/>
  <c r="AW49" i="7"/>
  <c r="AZ49" i="7" s="1"/>
  <c r="BC49" i="7" s="1"/>
  <c r="BF49" i="7" s="1"/>
  <c r="BI49" i="7" s="1"/>
  <c r="BL49" i="7" s="1"/>
  <c r="BO49" i="7" s="1"/>
  <c r="BO52" i="7"/>
  <c r="BR52" i="7" s="1"/>
  <c r="BU52" i="7" s="1"/>
  <c r="BX52" i="7" s="1"/>
  <c r="CA52" i="7" s="1"/>
  <c r="CD52" i="7" s="1"/>
  <c r="CG52" i="7" s="1"/>
  <c r="CJ52" i="7" s="1"/>
  <c r="CM52" i="7" s="1"/>
  <c r="CP52" i="7" s="1"/>
  <c r="CS52" i="7" s="1"/>
  <c r="CV52" i="7" s="1"/>
  <c r="AN50" i="7"/>
  <c r="AQ50" i="7" s="1"/>
  <c r="AT50" i="7" s="1"/>
  <c r="AW50" i="7" s="1"/>
  <c r="AT51" i="7"/>
  <c r="AW51" i="7" s="1"/>
  <c r="AZ51" i="7" s="1"/>
  <c r="BC51" i="7" s="1"/>
  <c r="BF51" i="7" s="1"/>
  <c r="BI51" i="7" s="1"/>
  <c r="BL51" i="7" s="1"/>
  <c r="BO51" i="7" s="1"/>
  <c r="BR51" i="7" s="1"/>
  <c r="BU51" i="7" s="1"/>
  <c r="BX51" i="7" s="1"/>
  <c r="CA51" i="7" s="1"/>
  <c r="CD51" i="7" s="1"/>
  <c r="CG51" i="7" s="1"/>
  <c r="CJ51" i="7" s="1"/>
  <c r="CM51" i="7" s="1"/>
  <c r="CP51" i="7" s="1"/>
  <c r="CS51" i="7" s="1"/>
  <c r="CV51" i="7" s="1"/>
  <c r="AN53" i="7"/>
  <c r="AQ53" i="7" s="1"/>
  <c r="AT53" i="7" s="1"/>
  <c r="AW53" i="7" s="1"/>
  <c r="AZ53" i="7" s="1"/>
  <c r="BC53" i="7" s="1"/>
  <c r="BF53" i="7" s="1"/>
  <c r="BI53" i="7" s="1"/>
  <c r="BL53" i="7" s="1"/>
  <c r="BO53" i="7" s="1"/>
  <c r="BR53" i="7" s="1"/>
  <c r="BU53" i="7" s="1"/>
  <c r="BX53" i="7" s="1"/>
  <c r="CA53" i="7" s="1"/>
  <c r="CD53" i="7" s="1"/>
  <c r="CG53" i="7" s="1"/>
  <c r="CJ53" i="7" s="1"/>
  <c r="CM53" i="7" s="1"/>
  <c r="CP53" i="7" s="1"/>
  <c r="CS53" i="7" s="1"/>
  <c r="CV53" i="7" s="1"/>
  <c r="AW45" i="7"/>
  <c r="AZ45" i="7" s="1"/>
  <c r="BC45" i="7" s="1"/>
  <c r="BF45" i="7" s="1"/>
  <c r="BI45" i="7" s="1"/>
  <c r="BL45" i="7" s="1"/>
  <c r="BO45" i="7" s="1"/>
  <c r="BR45" i="7" s="1"/>
  <c r="BU45" i="7" s="1"/>
  <c r="AT46" i="7"/>
  <c r="AW46" i="7" s="1"/>
  <c r="AZ46" i="7" s="1"/>
  <c r="BC46" i="7" s="1"/>
  <c r="BF46" i="7" s="1"/>
  <c r="BI46" i="7" s="1"/>
  <c r="BL46" i="7" s="1"/>
  <c r="BO46" i="7" s="1"/>
  <c r="BR46" i="7" s="1"/>
  <c r="BU46" i="7" s="1"/>
  <c r="BX46" i="7" s="1"/>
  <c r="CA46" i="7" s="1"/>
  <c r="CD46" i="7" s="1"/>
  <c r="CG46" i="7" s="1"/>
  <c r="CJ46" i="7" s="1"/>
  <c r="CM46" i="7" s="1"/>
  <c r="CP46" i="7" s="1"/>
  <c r="CS46" i="7" s="1"/>
  <c r="CV46" i="7" s="1"/>
  <c r="CY46" i="7" s="1"/>
  <c r="DB46" i="7" s="1"/>
  <c r="DE46" i="7" s="1"/>
  <c r="DH46" i="7" s="1"/>
  <c r="AQ6" i="7"/>
  <c r="AT6" i="7" s="1"/>
  <c r="AQ4" i="7"/>
  <c r="AT4" i="7" s="1"/>
  <c r="AH39" i="7"/>
  <c r="AK39" i="7" s="1"/>
  <c r="AN39" i="7" s="1"/>
  <c r="AQ39" i="7" s="1"/>
  <c r="AT39" i="7" s="1"/>
  <c r="AH36" i="7"/>
  <c r="AK36" i="7" s="1"/>
  <c r="AN36" i="7" s="1"/>
  <c r="AQ36" i="7" s="1"/>
  <c r="AN26" i="7"/>
  <c r="AQ26" i="7" s="1"/>
  <c r="AT26" i="7" s="1"/>
  <c r="AW26" i="7" s="1"/>
  <c r="AH30" i="7"/>
  <c r="AK30" i="7" s="1"/>
  <c r="AN30" i="7" s="1"/>
  <c r="AH8" i="7"/>
  <c r="AK8" i="7" s="1"/>
  <c r="AE37" i="7"/>
  <c r="AH34" i="7"/>
  <c r="AK34" i="7" s="1"/>
  <c r="AN34" i="7" s="1"/>
  <c r="AQ34" i="7" s="1"/>
  <c r="H35" i="8"/>
  <c r="H37" i="8"/>
  <c r="AK28" i="7"/>
  <c r="AN28" i="7" s="1"/>
  <c r="H31" i="8"/>
  <c r="H36" i="8"/>
  <c r="AK20" i="7"/>
  <c r="AN20" i="7" s="1"/>
  <c r="AQ20" i="7" s="1"/>
  <c r="AT20" i="7" s="1"/>
  <c r="AN18" i="7"/>
  <c r="AQ18" i="7" s="1"/>
  <c r="H25" i="8"/>
  <c r="AK17" i="7"/>
  <c r="AN17" i="7" s="1"/>
  <c r="I28" i="8"/>
  <c r="S22" i="6"/>
  <c r="S21" i="6"/>
  <c r="S24" i="6"/>
  <c r="S23" i="6"/>
  <c r="T6" i="6"/>
  <c r="S25" i="6"/>
  <c r="S20" i="6"/>
  <c r="AH15" i="7"/>
  <c r="AK15" i="7" s="1"/>
  <c r="AN15" i="7" s="1"/>
  <c r="AQ15" i="7" s="1"/>
  <c r="AK16" i="7"/>
  <c r="AN16" i="7" s="1"/>
  <c r="AK32" i="7"/>
  <c r="AH41" i="7"/>
  <c r="Y10" i="7"/>
  <c r="I37" i="8" s="1"/>
  <c r="Y25" i="6"/>
  <c r="Y20" i="6"/>
  <c r="Z6" i="6"/>
  <c r="Y24" i="6"/>
  <c r="Y22" i="6"/>
  <c r="Y21" i="6"/>
  <c r="Y23" i="6"/>
  <c r="M23" i="6"/>
  <c r="M22" i="6"/>
  <c r="M25" i="6"/>
  <c r="N6" i="6"/>
  <c r="O6" i="6" s="1"/>
  <c r="M20" i="6"/>
  <c r="M21" i="6"/>
  <c r="M24" i="6"/>
  <c r="AE23" i="7"/>
  <c r="AB38" i="7"/>
  <c r="L20" i="8"/>
  <c r="AI1" i="7"/>
  <c r="K23" i="8"/>
  <c r="K24" i="8" s="1"/>
  <c r="K27" i="8" s="1"/>
  <c r="AN9" i="7"/>
  <c r="AQ9" i="7" s="1"/>
  <c r="AK12" i="7"/>
  <c r="AN12" i="7" s="1"/>
  <c r="I25" i="8"/>
  <c r="AD5" i="7"/>
  <c r="J22" i="8"/>
  <c r="J28" i="8" s="1"/>
  <c r="AT25" i="7"/>
  <c r="AB48" i="7"/>
  <c r="AH24" i="7"/>
  <c r="AN40" i="7"/>
  <c r="AQ40" i="7" s="1"/>
  <c r="AT40" i="7" s="1"/>
  <c r="AW40" i="7" s="1"/>
  <c r="AH47" i="7"/>
  <c r="AK47" i="7" s="1"/>
  <c r="AN47" i="7" s="1"/>
  <c r="AQ47" i="7" s="1"/>
  <c r="AH19" i="7"/>
  <c r="AK19" i="7" s="1"/>
  <c r="AN19" i="7" s="1"/>
  <c r="AE7" i="7"/>
  <c r="AH42" i="7"/>
  <c r="AW29" i="7"/>
  <c r="AZ29" i="7" s="1"/>
  <c r="AT31" i="7"/>
  <c r="AN13" i="7"/>
  <c r="AN22" i="7"/>
  <c r="AE21" i="7"/>
  <c r="AK33" i="7"/>
  <c r="AN33" i="7" s="1"/>
  <c r="AK14" i="7"/>
  <c r="AQ11" i="7"/>
  <c r="AB5" i="7"/>
  <c r="AH27" i="7"/>
  <c r="AE35" i="7"/>
  <c r="AK24" i="6" l="1"/>
  <c r="AK25" i="6"/>
  <c r="AK23" i="6"/>
  <c r="AK20" i="6"/>
  <c r="AK22" i="6"/>
  <c r="AK21" i="6"/>
  <c r="AI6" i="6"/>
  <c r="AJ6" i="6" s="1"/>
  <c r="AH25" i="6"/>
  <c r="AH24" i="6"/>
  <c r="AH23" i="6"/>
  <c r="AH22" i="6"/>
  <c r="AH20" i="6"/>
  <c r="AH21" i="6"/>
  <c r="G52" i="7"/>
  <c r="G51" i="7"/>
  <c r="G46" i="7"/>
  <c r="G53" i="7"/>
  <c r="G43" i="7"/>
  <c r="BC44" i="7"/>
  <c r="BF44" i="7" s="1"/>
  <c r="BR49" i="7"/>
  <c r="BU49" i="7" s="1"/>
  <c r="BX49" i="7" s="1"/>
  <c r="CA49" i="7" s="1"/>
  <c r="CD49" i="7" s="1"/>
  <c r="CG49" i="7" s="1"/>
  <c r="CJ49" i="7" s="1"/>
  <c r="CM49" i="7" s="1"/>
  <c r="CP49" i="7" s="1"/>
  <c r="CS49" i="7" s="1"/>
  <c r="CV49" i="7" s="1"/>
  <c r="AW6" i="7"/>
  <c r="AZ6" i="7" s="1"/>
  <c r="BC6" i="7" s="1"/>
  <c r="AZ50" i="7"/>
  <c r="BC50" i="7" s="1"/>
  <c r="BF50" i="7" s="1"/>
  <c r="BI50" i="7" s="1"/>
  <c r="BL50" i="7" s="1"/>
  <c r="BO50" i="7" s="1"/>
  <c r="BR50" i="7" s="1"/>
  <c r="BU50" i="7" s="1"/>
  <c r="BX50" i="7" s="1"/>
  <c r="CA50" i="7" s="1"/>
  <c r="CD50" i="7" s="1"/>
  <c r="CG50" i="7" s="1"/>
  <c r="CJ50" i="7" s="1"/>
  <c r="CM50" i="7" s="1"/>
  <c r="CP50" i="7" s="1"/>
  <c r="CS50" i="7" s="1"/>
  <c r="CV50" i="7" s="1"/>
  <c r="BX45" i="7"/>
  <c r="CA45" i="7" s="1"/>
  <c r="CD45" i="7" s="1"/>
  <c r="CG45" i="7" s="1"/>
  <c r="CJ45" i="7" s="1"/>
  <c r="CM45" i="7" s="1"/>
  <c r="CP45" i="7" s="1"/>
  <c r="CS45" i="7" s="1"/>
  <c r="CV45" i="7" s="1"/>
  <c r="CY45" i="7" s="1"/>
  <c r="DB45" i="7" s="1"/>
  <c r="DE45" i="7" s="1"/>
  <c r="DH45" i="7" s="1"/>
  <c r="DK45" i="7" s="1"/>
  <c r="DN45" i="7" s="1"/>
  <c r="DQ45" i="7" s="1"/>
  <c r="DT45" i="7" s="1"/>
  <c r="DW45" i="7" s="1"/>
  <c r="DZ45" i="7" s="1"/>
  <c r="DK46" i="7"/>
  <c r="DN46" i="7" s="1"/>
  <c r="DQ46" i="7" s="1"/>
  <c r="DT46" i="7" s="1"/>
  <c r="DW46" i="7" s="1"/>
  <c r="DZ46" i="7" s="1"/>
  <c r="EB46" i="7"/>
  <c r="EB43" i="7"/>
  <c r="DK43" i="7"/>
  <c r="DN43" i="7" s="1"/>
  <c r="DQ43" i="7" s="1"/>
  <c r="DT43" i="7" s="1"/>
  <c r="DW43" i="7" s="1"/>
  <c r="DZ43" i="7" s="1"/>
  <c r="AZ26" i="7"/>
  <c r="BC26" i="7" s="1"/>
  <c r="AN8" i="7"/>
  <c r="AQ8" i="7" s="1"/>
  <c r="AH37" i="7"/>
  <c r="AK37" i="7" s="1"/>
  <c r="AW39" i="7"/>
  <c r="AZ39" i="7" s="1"/>
  <c r="AQ16" i="7"/>
  <c r="AT16" i="7" s="1"/>
  <c r="AW16" i="7" s="1"/>
  <c r="AW20" i="7"/>
  <c r="AZ20" i="7" s="1"/>
  <c r="BC20" i="7" s="1"/>
  <c r="AQ28" i="7"/>
  <c r="AT28" i="7" s="1"/>
  <c r="AT18" i="7"/>
  <c r="AW18" i="7" s="1"/>
  <c r="AZ18" i="7" s="1"/>
  <c r="AQ30" i="7"/>
  <c r="I36" i="8"/>
  <c r="U6" i="6"/>
  <c r="V6" i="6" s="1"/>
  <c r="AT15" i="7"/>
  <c r="AW15" i="7" s="1"/>
  <c r="AZ15" i="7" s="1"/>
  <c r="I31" i="8"/>
  <c r="AN32" i="7"/>
  <c r="AQ32" i="7" s="1"/>
  <c r="AB10" i="7"/>
  <c r="AE10" i="7" s="1"/>
  <c r="I35" i="8"/>
  <c r="Z25" i="6"/>
  <c r="Z22" i="6"/>
  <c r="Z21" i="6"/>
  <c r="AA6" i="6"/>
  <c r="Z23" i="6"/>
  <c r="Z24" i="6"/>
  <c r="Z20" i="6"/>
  <c r="AE38" i="7"/>
  <c r="AH23" i="7"/>
  <c r="AK41" i="7"/>
  <c r="M20" i="8"/>
  <c r="M23" i="8" s="1"/>
  <c r="AL1" i="7"/>
  <c r="L23" i="8"/>
  <c r="L24" i="8" s="1"/>
  <c r="L27" i="8" s="1"/>
  <c r="AT9" i="7"/>
  <c r="AW9" i="7" s="1"/>
  <c r="AH35" i="7"/>
  <c r="AK35" i="7" s="1"/>
  <c r="AH7" i="7"/>
  <c r="AK27" i="7"/>
  <c r="AN27" i="7" s="1"/>
  <c r="AQ27" i="7" s="1"/>
  <c r="AQ33" i="7"/>
  <c r="AT33" i="7" s="1"/>
  <c r="AQ19" i="7"/>
  <c r="AE48" i="7"/>
  <c r="AH21" i="7"/>
  <c r="AN14" i="7"/>
  <c r="AK42" i="7"/>
  <c r="AT11" i="7"/>
  <c r="AW11" i="7" s="1"/>
  <c r="AZ11" i="7" s="1"/>
  <c r="AQ22" i="7"/>
  <c r="AW31" i="7"/>
  <c r="AZ31" i="7" s="1"/>
  <c r="AK24" i="7"/>
  <c r="AN24" i="7" s="1"/>
  <c r="AW25" i="7"/>
  <c r="J25" i="8"/>
  <c r="AG5" i="7"/>
  <c r="K22" i="8"/>
  <c r="K28" i="8" s="1"/>
  <c r="BC29" i="7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CV29" i="7" s="1"/>
  <c r="AE5" i="7"/>
  <c r="AT47" i="7"/>
  <c r="AT36" i="7"/>
  <c r="AT34" i="7"/>
  <c r="AZ40" i="7"/>
  <c r="AQ17" i="7"/>
  <c r="AQ12" i="7"/>
  <c r="AQ13" i="7"/>
  <c r="G45" i="7" l="1"/>
  <c r="G49" i="7"/>
  <c r="BI44" i="7"/>
  <c r="BL44" i="7" s="1"/>
  <c r="BO44" i="7" s="1"/>
  <c r="BR44" i="7" s="1"/>
  <c r="BU44" i="7" s="1"/>
  <c r="BX44" i="7" s="1"/>
  <c r="CA44" i="7" s="1"/>
  <c r="CD44" i="7" s="1"/>
  <c r="CG44" i="7" s="1"/>
  <c r="CJ44" i="7" s="1"/>
  <c r="CM44" i="7" s="1"/>
  <c r="CP44" i="7" s="1"/>
  <c r="CS44" i="7" s="1"/>
  <c r="CV44" i="7" s="1"/>
  <c r="CY44" i="7" s="1"/>
  <c r="DB44" i="7" s="1"/>
  <c r="DE44" i="7" s="1"/>
  <c r="DH44" i="7" s="1"/>
  <c r="G50" i="7"/>
  <c r="EB45" i="7"/>
  <c r="BF26" i="7"/>
  <c r="BI26" i="7" s="1"/>
  <c r="BL26" i="7" s="1"/>
  <c r="AN37" i="7"/>
  <c r="AQ37" i="7" s="1"/>
  <c r="AT37" i="7" s="1"/>
  <c r="AW28" i="7"/>
  <c r="AZ28" i="7" s="1"/>
  <c r="AT30" i="7"/>
  <c r="AW30" i="7" s="1"/>
  <c r="J31" i="8"/>
  <c r="J35" i="8"/>
  <c r="BC15" i="7"/>
  <c r="BF15" i="7" s="1"/>
  <c r="BC18" i="7"/>
  <c r="BF18" i="7" s="1"/>
  <c r="J37" i="8"/>
  <c r="J36" i="8"/>
  <c r="AT32" i="7"/>
  <c r="AW32" i="7" s="1"/>
  <c r="AH10" i="7"/>
  <c r="AK10" i="7" s="1"/>
  <c r="AN10" i="7" s="1"/>
  <c r="M24" i="8"/>
  <c r="M27" i="8" s="1"/>
  <c r="AK23" i="7"/>
  <c r="AH38" i="7"/>
  <c r="AA20" i="6"/>
  <c r="AB6" i="6"/>
  <c r="AC6" i="6" s="1"/>
  <c r="AA24" i="6"/>
  <c r="AA23" i="6"/>
  <c r="AA21" i="6"/>
  <c r="AA25" i="6"/>
  <c r="AA22" i="6"/>
  <c r="AN41" i="7"/>
  <c r="AO1" i="7"/>
  <c r="N20" i="8"/>
  <c r="N23" i="8" s="1"/>
  <c r="N24" i="8" s="1"/>
  <c r="N27" i="8" s="1"/>
  <c r="AZ9" i="7"/>
  <c r="BC9" i="7" s="1"/>
  <c r="G29" i="7"/>
  <c r="CY29" i="7"/>
  <c r="DB29" i="7" s="1"/>
  <c r="DE29" i="7" s="1"/>
  <c r="DH29" i="7" s="1"/>
  <c r="AZ16" i="7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CV16" i="7" s="1"/>
  <c r="AT27" i="7"/>
  <c r="AW27" i="7" s="1"/>
  <c r="AZ27" i="7" s="1"/>
  <c r="K31" i="8"/>
  <c r="K35" i="8"/>
  <c r="K37" i="8"/>
  <c r="K36" i="8"/>
  <c r="AT8" i="7"/>
  <c r="K25" i="8"/>
  <c r="AJ5" i="7"/>
  <c r="L22" i="8"/>
  <c r="L28" i="8" s="1"/>
  <c r="AZ25" i="7"/>
  <c r="BF6" i="7"/>
  <c r="BI6" i="7" s="1"/>
  <c r="AT22" i="7"/>
  <c r="AK7" i="7"/>
  <c r="AT12" i="7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CV12" i="7" s="1"/>
  <c r="BC40" i="7"/>
  <c r="AW33" i="7"/>
  <c r="BC39" i="7"/>
  <c r="BF39" i="7" s="1"/>
  <c r="BI39" i="7" s="1"/>
  <c r="BL39" i="7" s="1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CV39" i="7" s="1"/>
  <c r="AW36" i="7"/>
  <c r="AQ24" i="7"/>
  <c r="AT24" i="7" s="1"/>
  <c r="BC31" i="7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CV31" i="7" s="1"/>
  <c r="AN42" i="7"/>
  <c r="AQ42" i="7" s="1"/>
  <c r="AH48" i="7"/>
  <c r="BF20" i="7"/>
  <c r="AW47" i="7"/>
  <c r="AZ47" i="7" s="1"/>
  <c r="AW34" i="7"/>
  <c r="BC11" i="7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CV11" i="7" s="1"/>
  <c r="AT17" i="7"/>
  <c r="AT13" i="7"/>
  <c r="AQ14" i="7"/>
  <c r="AH5" i="7"/>
  <c r="AT19" i="7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CV19" i="7" s="1"/>
  <c r="AK21" i="7"/>
  <c r="AN35" i="7"/>
  <c r="G44" i="7" l="1"/>
  <c r="EB44" i="7"/>
  <c r="DK44" i="7"/>
  <c r="DN44" i="7" s="1"/>
  <c r="DQ44" i="7" s="1"/>
  <c r="DT44" i="7" s="1"/>
  <c r="DW44" i="7" s="1"/>
  <c r="DZ44" i="7" s="1"/>
  <c r="AW37" i="7"/>
  <c r="AZ37" i="7" s="1"/>
  <c r="BC37" i="7" s="1"/>
  <c r="BO26" i="7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CV26" i="7" s="1"/>
  <c r="AZ30" i="7"/>
  <c r="BI18" i="7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CV18" i="7" s="1"/>
  <c r="BC27" i="7"/>
  <c r="BF27" i="7" s="1"/>
  <c r="BI27" i="7" s="1"/>
  <c r="BL27" i="7" s="1"/>
  <c r="BO27" i="7" s="1"/>
  <c r="BR27" i="7" s="1"/>
  <c r="BU27" i="7" s="1"/>
  <c r="BX27" i="7" s="1"/>
  <c r="CA27" i="7" s="1"/>
  <c r="CD27" i="7" s="1"/>
  <c r="CG27" i="7" s="1"/>
  <c r="CJ27" i="7" s="1"/>
  <c r="BI15" i="7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CV15" i="7" s="1"/>
  <c r="AZ32" i="7"/>
  <c r="AQ41" i="7"/>
  <c r="AT41" i="7" s="1"/>
  <c r="AK38" i="7"/>
  <c r="AQ10" i="7"/>
  <c r="AT10" i="7" s="1"/>
  <c r="AT42" i="7"/>
  <c r="AW42" i="7" s="1"/>
  <c r="AN23" i="7"/>
  <c r="AR1" i="7"/>
  <c r="O20" i="8"/>
  <c r="O23" i="8" s="1"/>
  <c r="O24" i="8" s="1"/>
  <c r="O27" i="8" s="1"/>
  <c r="BF9" i="7"/>
  <c r="G19" i="7"/>
  <c r="EB19" i="7"/>
  <c r="G31" i="7"/>
  <c r="CY31" i="7"/>
  <c r="DB31" i="7" s="1"/>
  <c r="DE31" i="7" s="1"/>
  <c r="DH31" i="7" s="1"/>
  <c r="G16" i="7"/>
  <c r="EB16" i="7"/>
  <c r="G12" i="7"/>
  <c r="CY12" i="7"/>
  <c r="DB12" i="7" s="1"/>
  <c r="DE12" i="7" s="1"/>
  <c r="DH12" i="7" s="1"/>
  <c r="G11" i="7"/>
  <c r="CY11" i="7"/>
  <c r="DB11" i="7" s="1"/>
  <c r="DE11" i="7" s="1"/>
  <c r="DH11" i="7" s="1"/>
  <c r="G39" i="7"/>
  <c r="CY39" i="7"/>
  <c r="DB39" i="7" s="1"/>
  <c r="DE39" i="7" s="1"/>
  <c r="DH39" i="7" s="1"/>
  <c r="AQ35" i="7"/>
  <c r="AW17" i="7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CV17" i="7" s="1"/>
  <c r="AK48" i="7"/>
  <c r="BF40" i="7"/>
  <c r="BI40" i="7" s="1"/>
  <c r="AN7" i="7"/>
  <c r="AW22" i="7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CV22" i="7" s="1"/>
  <c r="L25" i="8"/>
  <c r="AM5" i="7"/>
  <c r="M22" i="8"/>
  <c r="M28" i="8" s="1"/>
  <c r="AK5" i="7"/>
  <c r="AW13" i="7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CV13" i="7" s="1"/>
  <c r="AW24" i="7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CV24" i="7" s="1"/>
  <c r="AN21" i="7"/>
  <c r="AQ21" i="7" s="1"/>
  <c r="AT21" i="7" s="1"/>
  <c r="L35" i="8"/>
  <c r="L36" i="8"/>
  <c r="L31" i="8"/>
  <c r="L37" i="8"/>
  <c r="BC28" i="7"/>
  <c r="BF28" i="7" s="1"/>
  <c r="BI28" i="7" s="1"/>
  <c r="BC47" i="7"/>
  <c r="BF47" i="7" s="1"/>
  <c r="BI47" i="7" s="1"/>
  <c r="BL47" i="7" s="1"/>
  <c r="BO47" i="7" s="1"/>
  <c r="BR47" i="7" s="1"/>
  <c r="BU47" i="7" s="1"/>
  <c r="BX47" i="7" s="1"/>
  <c r="CA47" i="7" s="1"/>
  <c r="BI20" i="7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CV20" i="7" s="1"/>
  <c r="G20" i="7" s="1"/>
  <c r="AZ36" i="7"/>
  <c r="BC36" i="7" s="1"/>
  <c r="BF36" i="7" s="1"/>
  <c r="BI36" i="7" s="1"/>
  <c r="BL36" i="7" s="1"/>
  <c r="BO36" i="7" s="1"/>
  <c r="BR36" i="7" s="1"/>
  <c r="BU36" i="7" s="1"/>
  <c r="BX36" i="7" s="1"/>
  <c r="CA36" i="7" s="1"/>
  <c r="CD36" i="7" s="1"/>
  <c r="CG36" i="7" s="1"/>
  <c r="CJ36" i="7" s="1"/>
  <c r="CM36" i="7" s="1"/>
  <c r="CP36" i="7" s="1"/>
  <c r="CS36" i="7" s="1"/>
  <c r="CV36" i="7" s="1"/>
  <c r="BC25" i="7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CV25" i="7" s="1"/>
  <c r="AW8" i="7"/>
  <c r="AZ8" i="7" s="1"/>
  <c r="BC8" i="7" s="1"/>
  <c r="BF8" i="7" s="1"/>
  <c r="BI8" i="7" s="1"/>
  <c r="EB29" i="7"/>
  <c r="DK29" i="7"/>
  <c r="DN29" i="7" s="1"/>
  <c r="DQ29" i="7" s="1"/>
  <c r="DT29" i="7" s="1"/>
  <c r="DW29" i="7" s="1"/>
  <c r="DZ29" i="7" s="1"/>
  <c r="BL6" i="7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CV6" i="7" s="1"/>
  <c r="AZ33" i="7"/>
  <c r="AT14" i="7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CV14" i="7" s="1"/>
  <c r="AZ34" i="7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CM34" i="7" s="1"/>
  <c r="CP34" i="7" s="1"/>
  <c r="CS34" i="7" s="1"/>
  <c r="CV34" i="7" s="1"/>
  <c r="AZ42" i="7" l="1"/>
  <c r="BC42" i="7" s="1"/>
  <c r="BF42" i="7" s="1"/>
  <c r="BI42" i="7" s="1"/>
  <c r="CY26" i="7"/>
  <c r="DB26" i="7" s="1"/>
  <c r="DE26" i="7" s="1"/>
  <c r="DH26" i="7" s="1"/>
  <c r="BF37" i="7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CV37" i="7" s="1"/>
  <c r="G26" i="7"/>
  <c r="G15" i="7"/>
  <c r="G18" i="7"/>
  <c r="BC30" i="7"/>
  <c r="EB18" i="7"/>
  <c r="CY15" i="7"/>
  <c r="DB15" i="7" s="1"/>
  <c r="DE15" i="7" s="1"/>
  <c r="DH15" i="7" s="1"/>
  <c r="C9" i="6"/>
  <c r="BC32" i="7"/>
  <c r="BF32" i="7" s="1"/>
  <c r="BI32" i="7" s="1"/>
  <c r="BL32" i="7" s="1"/>
  <c r="BO32" i="7" s="1"/>
  <c r="AN38" i="7"/>
  <c r="AW41" i="7"/>
  <c r="AZ41" i="7" s="1"/>
  <c r="BC41" i="7" s="1"/>
  <c r="AW10" i="7"/>
  <c r="AZ10" i="7" s="1"/>
  <c r="AQ23" i="7"/>
  <c r="AT23" i="7" s="1"/>
  <c r="CY20" i="7"/>
  <c r="DB20" i="7" s="1"/>
  <c r="DE20" i="7" s="1"/>
  <c r="DH20" i="7" s="1"/>
  <c r="EB20" i="7" s="1"/>
  <c r="BL28" i="7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CV28" i="7" s="1"/>
  <c r="G28" i="7" s="1"/>
  <c r="CM27" i="7"/>
  <c r="CP27" i="7" s="1"/>
  <c r="CS27" i="7" s="1"/>
  <c r="CV27" i="7" s="1"/>
  <c r="G27" i="7" s="1"/>
  <c r="AW21" i="7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CV21" i="7" s="1"/>
  <c r="G21" i="7" s="1"/>
  <c r="CD47" i="7"/>
  <c r="CG47" i="7" s="1"/>
  <c r="CJ47" i="7" s="1"/>
  <c r="CM47" i="7" s="1"/>
  <c r="CP47" i="7" s="1"/>
  <c r="CS47" i="7" s="1"/>
  <c r="CV47" i="7" s="1"/>
  <c r="G47" i="7" s="1"/>
  <c r="BL40" i="7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CV40" i="7" s="1"/>
  <c r="G40" i="7" s="1"/>
  <c r="P20" i="8"/>
  <c r="P23" i="8" s="1"/>
  <c r="P24" i="8" s="1"/>
  <c r="P27" i="8" s="1"/>
  <c r="AU1" i="7"/>
  <c r="BI9" i="7"/>
  <c r="BL9" i="7" s="1"/>
  <c r="G14" i="7"/>
  <c r="CY14" i="7"/>
  <c r="DB14" i="7" s="1"/>
  <c r="DE14" i="7" s="1"/>
  <c r="DH14" i="7" s="1"/>
  <c r="G25" i="7"/>
  <c r="CY25" i="7"/>
  <c r="DB25" i="7" s="1"/>
  <c r="DE25" i="7" s="1"/>
  <c r="DH25" i="7" s="1"/>
  <c r="G24" i="7"/>
  <c r="CY24" i="7"/>
  <c r="DB24" i="7" s="1"/>
  <c r="DE24" i="7" s="1"/>
  <c r="DH24" i="7" s="1"/>
  <c r="G34" i="7"/>
  <c r="CY34" i="7"/>
  <c r="DB34" i="7" s="1"/>
  <c r="DE34" i="7" s="1"/>
  <c r="DH34" i="7" s="1"/>
  <c r="G6" i="7"/>
  <c r="CY6" i="7"/>
  <c r="DB6" i="7" s="1"/>
  <c r="DE6" i="7" s="1"/>
  <c r="DH6" i="7" s="1"/>
  <c r="G36" i="7"/>
  <c r="CY36" i="7"/>
  <c r="DB36" i="7" s="1"/>
  <c r="DE36" i="7" s="1"/>
  <c r="DH36" i="7" s="1"/>
  <c r="G13" i="7"/>
  <c r="CY13" i="7"/>
  <c r="DB13" i="7" s="1"/>
  <c r="DE13" i="7" s="1"/>
  <c r="DH13" i="7" s="1"/>
  <c r="G22" i="7"/>
  <c r="CY22" i="7"/>
  <c r="DB22" i="7" s="1"/>
  <c r="DE22" i="7" s="1"/>
  <c r="DH22" i="7" s="1"/>
  <c r="G17" i="7"/>
  <c r="EB17" i="7"/>
  <c r="BC33" i="7"/>
  <c r="BF33" i="7" s="1"/>
  <c r="BI33" i="7" s="1"/>
  <c r="BL33" i="7" s="1"/>
  <c r="BO33" i="7" s="1"/>
  <c r="BR33" i="7" s="1"/>
  <c r="BU33" i="7" s="1"/>
  <c r="BX33" i="7" s="1"/>
  <c r="CA33" i="7" s="1"/>
  <c r="CD33" i="7" s="1"/>
  <c r="M25" i="8"/>
  <c r="AP5" i="7"/>
  <c r="N22" i="8"/>
  <c r="N28" i="8" s="1"/>
  <c r="AN5" i="7"/>
  <c r="AQ7" i="7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CV7" i="7" s="1"/>
  <c r="EB39" i="7"/>
  <c r="DK39" i="7"/>
  <c r="DN39" i="7" s="1"/>
  <c r="DQ39" i="7" s="1"/>
  <c r="DT39" i="7" s="1"/>
  <c r="DW39" i="7" s="1"/>
  <c r="DZ39" i="7" s="1"/>
  <c r="EB11" i="7"/>
  <c r="DK11" i="7"/>
  <c r="DN11" i="7" s="1"/>
  <c r="DQ11" i="7" s="1"/>
  <c r="DT11" i="7" s="1"/>
  <c r="DW11" i="7" s="1"/>
  <c r="DZ11" i="7" s="1"/>
  <c r="BL8" i="7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CV8" i="7" s="1"/>
  <c r="M31" i="8"/>
  <c r="M37" i="8"/>
  <c r="M36" i="8"/>
  <c r="M35" i="8"/>
  <c r="AN48" i="7"/>
  <c r="AT35" i="7"/>
  <c r="AW35" i="7" s="1"/>
  <c r="AZ35" i="7" s="1"/>
  <c r="BC35" i="7" s="1"/>
  <c r="BF35" i="7" s="1"/>
  <c r="BI35" i="7" s="1"/>
  <c r="BL35" i="7" s="1"/>
  <c r="BO35" i="7" s="1"/>
  <c r="BR35" i="7" s="1"/>
  <c r="BU35" i="7" s="1"/>
  <c r="BX35" i="7" s="1"/>
  <c r="EB12" i="7"/>
  <c r="DK12" i="7"/>
  <c r="DN12" i="7" s="1"/>
  <c r="DQ12" i="7" s="1"/>
  <c r="DT12" i="7" s="1"/>
  <c r="DW12" i="7" s="1"/>
  <c r="DZ12" i="7" s="1"/>
  <c r="DK31" i="7"/>
  <c r="DN31" i="7" s="1"/>
  <c r="DQ31" i="7" s="1"/>
  <c r="DT31" i="7" s="1"/>
  <c r="DW31" i="7" s="1"/>
  <c r="DZ31" i="7" s="1"/>
  <c r="EB31" i="7"/>
  <c r="G37" i="7" l="1"/>
  <c r="DK26" i="7"/>
  <c r="DN26" i="7" s="1"/>
  <c r="DQ26" i="7" s="1"/>
  <c r="DT26" i="7" s="1"/>
  <c r="DW26" i="7" s="1"/>
  <c r="DZ26" i="7" s="1"/>
  <c r="EB26" i="7"/>
  <c r="CY37" i="7"/>
  <c r="DB37" i="7" s="1"/>
  <c r="DE37" i="7" s="1"/>
  <c r="DH37" i="7" s="1"/>
  <c r="BF30" i="7"/>
  <c r="BI30" i="7" s="1"/>
  <c r="CY28" i="7"/>
  <c r="DB28" i="7" s="1"/>
  <c r="DE28" i="7" s="1"/>
  <c r="DH28" i="7" s="1"/>
  <c r="CY47" i="7"/>
  <c r="DB47" i="7" s="1"/>
  <c r="DE47" i="7" s="1"/>
  <c r="DH47" i="7" s="1"/>
  <c r="DK20" i="7"/>
  <c r="DN20" i="7" s="1"/>
  <c r="DQ20" i="7" s="1"/>
  <c r="DT20" i="7" s="1"/>
  <c r="DW20" i="7" s="1"/>
  <c r="DZ20" i="7" s="1"/>
  <c r="CY27" i="7"/>
  <c r="DB27" i="7" s="1"/>
  <c r="DE27" i="7" s="1"/>
  <c r="DH27" i="7" s="1"/>
  <c r="DK15" i="7"/>
  <c r="DN15" i="7" s="1"/>
  <c r="DQ15" i="7" s="1"/>
  <c r="DT15" i="7" s="1"/>
  <c r="DW15" i="7" s="1"/>
  <c r="DZ15" i="7" s="1"/>
  <c r="EB15" i="7"/>
  <c r="BR32" i="7"/>
  <c r="BU32" i="7" s="1"/>
  <c r="BX32" i="7" s="1"/>
  <c r="CA32" i="7" s="1"/>
  <c r="CD32" i="7" s="1"/>
  <c r="CG32" i="7" s="1"/>
  <c r="CJ32" i="7" s="1"/>
  <c r="CM32" i="7" s="1"/>
  <c r="CY40" i="7"/>
  <c r="DB40" i="7" s="1"/>
  <c r="DE40" i="7" s="1"/>
  <c r="DH40" i="7" s="1"/>
  <c r="CY21" i="7"/>
  <c r="DB21" i="7" s="1"/>
  <c r="DE21" i="7" s="1"/>
  <c r="DH21" i="7" s="1"/>
  <c r="DK21" i="7" s="1"/>
  <c r="DN21" i="7" s="1"/>
  <c r="DQ21" i="7" s="1"/>
  <c r="DT21" i="7" s="1"/>
  <c r="DW21" i="7" s="1"/>
  <c r="DZ21" i="7" s="1"/>
  <c r="AW23" i="7"/>
  <c r="AZ23" i="7" s="1"/>
  <c r="BC23" i="7" s="1"/>
  <c r="BC10" i="7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CV10" i="7" s="1"/>
  <c r="G10" i="7" s="1"/>
  <c r="BF41" i="7"/>
  <c r="AQ38" i="7"/>
  <c r="CA35" i="7"/>
  <c r="CD35" i="7" s="1"/>
  <c r="CG35" i="7" s="1"/>
  <c r="CJ35" i="7" s="1"/>
  <c r="CM35" i="7" s="1"/>
  <c r="CP35" i="7" s="1"/>
  <c r="CS35" i="7" s="1"/>
  <c r="CV35" i="7" s="1"/>
  <c r="G35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CV42" i="7" s="1"/>
  <c r="CG33" i="7"/>
  <c r="CJ33" i="7" s="1"/>
  <c r="CM33" i="7" s="1"/>
  <c r="CP33" i="7" s="1"/>
  <c r="CS33" i="7" s="1"/>
  <c r="CV33" i="7" s="1"/>
  <c r="G33" i="7" s="1"/>
  <c r="AX1" i="7"/>
  <c r="Q20" i="8"/>
  <c r="Q23" i="8" s="1"/>
  <c r="Q24" i="8" s="1"/>
  <c r="Q27" i="8" s="1"/>
  <c r="BO9" i="7"/>
  <c r="BR9" i="7" s="1"/>
  <c r="G7" i="7"/>
  <c r="CY7" i="7"/>
  <c r="DB7" i="7" s="1"/>
  <c r="DE7" i="7" s="1"/>
  <c r="DH7" i="7" s="1"/>
  <c r="G8" i="7"/>
  <c r="CY8" i="7"/>
  <c r="DB8" i="7" s="1"/>
  <c r="DE8" i="7" s="1"/>
  <c r="DH8" i="7" s="1"/>
  <c r="AQ48" i="7"/>
  <c r="AT48" i="7" s="1"/>
  <c r="AW48" i="7" s="1"/>
  <c r="N25" i="8"/>
  <c r="AS5" i="7"/>
  <c r="O22" i="8"/>
  <c r="O28" i="8" s="1"/>
  <c r="AQ5" i="7"/>
  <c r="N36" i="8"/>
  <c r="N37" i="8"/>
  <c r="N31" i="8"/>
  <c r="N35" i="8"/>
  <c r="DK22" i="7"/>
  <c r="DN22" i="7" s="1"/>
  <c r="DQ22" i="7" s="1"/>
  <c r="DT22" i="7" s="1"/>
  <c r="DW22" i="7" s="1"/>
  <c r="DZ22" i="7" s="1"/>
  <c r="EB22" i="7"/>
  <c r="EB13" i="7"/>
  <c r="DK13" i="7"/>
  <c r="DN13" i="7" s="1"/>
  <c r="DQ13" i="7" s="1"/>
  <c r="DT13" i="7" s="1"/>
  <c r="DW13" i="7" s="1"/>
  <c r="DZ13" i="7" s="1"/>
  <c r="DK36" i="7"/>
  <c r="DN36" i="7" s="1"/>
  <c r="DQ36" i="7" s="1"/>
  <c r="DT36" i="7" s="1"/>
  <c r="DW36" i="7" s="1"/>
  <c r="DZ36" i="7" s="1"/>
  <c r="EB36" i="7"/>
  <c r="EB6" i="7"/>
  <c r="DK6" i="7"/>
  <c r="DN6" i="7" s="1"/>
  <c r="DQ6" i="7" s="1"/>
  <c r="DT6" i="7" s="1"/>
  <c r="DW6" i="7" s="1"/>
  <c r="DZ6" i="7" s="1"/>
  <c r="EB34" i="7"/>
  <c r="DK34" i="7"/>
  <c r="DN34" i="7" s="1"/>
  <c r="DQ34" i="7" s="1"/>
  <c r="DT34" i="7" s="1"/>
  <c r="DW34" i="7" s="1"/>
  <c r="DZ34" i="7" s="1"/>
  <c r="EB24" i="7"/>
  <c r="DK24" i="7"/>
  <c r="DN24" i="7" s="1"/>
  <c r="DQ24" i="7" s="1"/>
  <c r="DT24" i="7" s="1"/>
  <c r="DW24" i="7" s="1"/>
  <c r="DZ24" i="7" s="1"/>
  <c r="DK25" i="7"/>
  <c r="DN25" i="7" s="1"/>
  <c r="DQ25" i="7" s="1"/>
  <c r="DT25" i="7" s="1"/>
  <c r="DW25" i="7" s="1"/>
  <c r="DZ25" i="7" s="1"/>
  <c r="EB25" i="7"/>
  <c r="EB14" i="7"/>
  <c r="DK14" i="7"/>
  <c r="DN14" i="7" s="1"/>
  <c r="DQ14" i="7" s="1"/>
  <c r="DT14" i="7" s="1"/>
  <c r="DW14" i="7" s="1"/>
  <c r="DZ14" i="7" s="1"/>
  <c r="DK37" i="7" l="1"/>
  <c r="DN37" i="7" s="1"/>
  <c r="DQ37" i="7" s="1"/>
  <c r="DT37" i="7" s="1"/>
  <c r="DW37" i="7" s="1"/>
  <c r="DZ37" i="7" s="1"/>
  <c r="EB37" i="7"/>
  <c r="DK40" i="7"/>
  <c r="DN40" i="7" s="1"/>
  <c r="DQ40" i="7" s="1"/>
  <c r="DT40" i="7" s="1"/>
  <c r="DW40" i="7" s="1"/>
  <c r="DZ40" i="7" s="1"/>
  <c r="EB28" i="7"/>
  <c r="G42" i="7"/>
  <c r="DK28" i="7"/>
  <c r="DN28" i="7" s="1"/>
  <c r="DQ28" i="7" s="1"/>
  <c r="DT28" i="7" s="1"/>
  <c r="DW28" i="7" s="1"/>
  <c r="DZ28" i="7" s="1"/>
  <c r="CP32" i="7"/>
  <c r="CS32" i="7" s="1"/>
  <c r="CV32" i="7" s="1"/>
  <c r="G32" i="7" s="1"/>
  <c r="EB40" i="7"/>
  <c r="BL30" i="7"/>
  <c r="EB47" i="7"/>
  <c r="CY35" i="7"/>
  <c r="DB35" i="7" s="1"/>
  <c r="DE35" i="7" s="1"/>
  <c r="DH35" i="7" s="1"/>
  <c r="CY42" i="7"/>
  <c r="DB42" i="7" s="1"/>
  <c r="DE42" i="7" s="1"/>
  <c r="DH42" i="7" s="1"/>
  <c r="DK47" i="7"/>
  <c r="DN47" i="7" s="1"/>
  <c r="DQ47" i="7" s="1"/>
  <c r="DT47" i="7" s="1"/>
  <c r="DW47" i="7" s="1"/>
  <c r="DZ47" i="7" s="1"/>
  <c r="DK27" i="7"/>
  <c r="DN27" i="7" s="1"/>
  <c r="DQ27" i="7" s="1"/>
  <c r="DT27" i="7" s="1"/>
  <c r="DW27" i="7" s="1"/>
  <c r="DZ27" i="7" s="1"/>
  <c r="EB27" i="7"/>
  <c r="EB21" i="7"/>
  <c r="CY10" i="7"/>
  <c r="DB10" i="7" s="1"/>
  <c r="DE10" i="7" s="1"/>
  <c r="DH10" i="7" s="1"/>
  <c r="AT38" i="7"/>
  <c r="AW38" i="7" s="1"/>
  <c r="BF23" i="7"/>
  <c r="BI23" i="7" s="1"/>
  <c r="CY33" i="7"/>
  <c r="DB33" i="7" s="1"/>
  <c r="DE33" i="7" s="1"/>
  <c r="DH33" i="7" s="1"/>
  <c r="AZ48" i="7"/>
  <c r="BC48" i="7" s="1"/>
  <c r="BF48" i="7" s="1"/>
  <c r="BI48" i="7" s="1"/>
  <c r="BL48" i="7" s="1"/>
  <c r="BO48" i="7" s="1"/>
  <c r="BR48" i="7" s="1"/>
  <c r="BU48" i="7" s="1"/>
  <c r="BX48" i="7" s="1"/>
  <c r="CA48" i="7" s="1"/>
  <c r="CD48" i="7" s="1"/>
  <c r="CG48" i="7" s="1"/>
  <c r="CJ48" i="7" s="1"/>
  <c r="CM48" i="7" s="1"/>
  <c r="CP48" i="7" s="1"/>
  <c r="CS48" i="7" s="1"/>
  <c r="CV48" i="7" s="1"/>
  <c r="BI41" i="7"/>
  <c r="R20" i="8"/>
  <c r="R23" i="8" s="1"/>
  <c r="R24" i="8" s="1"/>
  <c r="R27" i="8" s="1"/>
  <c r="BA1" i="7"/>
  <c r="BU9" i="7"/>
  <c r="BX9" i="7" s="1"/>
  <c r="CA9" i="7" s="1"/>
  <c r="CD9" i="7" s="1"/>
  <c r="O25" i="8"/>
  <c r="AV5" i="7"/>
  <c r="P22" i="8"/>
  <c r="P28" i="8" s="1"/>
  <c r="AT5" i="7"/>
  <c r="DK8" i="7"/>
  <c r="DN8" i="7" s="1"/>
  <c r="DQ8" i="7" s="1"/>
  <c r="DT8" i="7" s="1"/>
  <c r="DW8" i="7" s="1"/>
  <c r="DZ8" i="7" s="1"/>
  <c r="EB8" i="7"/>
  <c r="O35" i="8"/>
  <c r="O37" i="8"/>
  <c r="O36" i="8"/>
  <c r="O31" i="8"/>
  <c r="EB7" i="7"/>
  <c r="DK7" i="7"/>
  <c r="DN7" i="7" s="1"/>
  <c r="DQ7" i="7" s="1"/>
  <c r="DT7" i="7" s="1"/>
  <c r="DW7" i="7" s="1"/>
  <c r="DZ7" i="7" s="1"/>
  <c r="EB42" i="7" l="1"/>
  <c r="CY32" i="7"/>
  <c r="DB32" i="7" s="1"/>
  <c r="BO30" i="7"/>
  <c r="EB35" i="7"/>
  <c r="DK35" i="7"/>
  <c r="DN35" i="7" s="1"/>
  <c r="DQ35" i="7" s="1"/>
  <c r="DT35" i="7" s="1"/>
  <c r="DW35" i="7" s="1"/>
  <c r="DZ35" i="7" s="1"/>
  <c r="DK42" i="7"/>
  <c r="DN42" i="7" s="1"/>
  <c r="DQ42" i="7" s="1"/>
  <c r="DT42" i="7" s="1"/>
  <c r="DW42" i="7" s="1"/>
  <c r="DZ42" i="7" s="1"/>
  <c r="G48" i="7"/>
  <c r="EB10" i="7"/>
  <c r="DK10" i="7"/>
  <c r="DN10" i="7" s="1"/>
  <c r="DQ10" i="7" s="1"/>
  <c r="DT10" i="7" s="1"/>
  <c r="DW10" i="7" s="1"/>
  <c r="DZ10" i="7" s="1"/>
  <c r="DK33" i="7"/>
  <c r="DN33" i="7" s="1"/>
  <c r="DQ33" i="7" s="1"/>
  <c r="DT33" i="7" s="1"/>
  <c r="DW33" i="7" s="1"/>
  <c r="DZ33" i="7" s="1"/>
  <c r="BL23" i="7"/>
  <c r="BO23" i="7" s="1"/>
  <c r="BR23" i="7" s="1"/>
  <c r="BU23" i="7" s="1"/>
  <c r="EB33" i="7"/>
  <c r="CY48" i="7"/>
  <c r="DB48" i="7" s="1"/>
  <c r="DE48" i="7" s="1"/>
  <c r="DH48" i="7" s="1"/>
  <c r="DK48" i="7" s="1"/>
  <c r="DN48" i="7" s="1"/>
  <c r="DQ48" i="7" s="1"/>
  <c r="DT48" i="7" s="1"/>
  <c r="DW48" i="7" s="1"/>
  <c r="DZ48" i="7" s="1"/>
  <c r="BL41" i="7"/>
  <c r="AZ38" i="7"/>
  <c r="CG9" i="7"/>
  <c r="CJ9" i="7" s="1"/>
  <c r="S20" i="8"/>
  <c r="S23" i="8" s="1"/>
  <c r="S24" i="8" s="1"/>
  <c r="S27" i="8" s="1"/>
  <c r="BD1" i="7"/>
  <c r="P25" i="8"/>
  <c r="AY5" i="7"/>
  <c r="AW5" i="7"/>
  <c r="P37" i="8"/>
  <c r="P35" i="8"/>
  <c r="P36" i="8"/>
  <c r="P31" i="8"/>
  <c r="BR30" i="7" l="1"/>
  <c r="BU30" i="7" s="1"/>
  <c r="BX30" i="7" s="1"/>
  <c r="EB48" i="7"/>
  <c r="BX23" i="7"/>
  <c r="CA23" i="7" s="1"/>
  <c r="CD23" i="7" s="1"/>
  <c r="CG23" i="7" s="1"/>
  <c r="CJ23" i="7" s="1"/>
  <c r="CM23" i="7" s="1"/>
  <c r="CP23" i="7" s="1"/>
  <c r="CS23" i="7" s="1"/>
  <c r="CV23" i="7" s="1"/>
  <c r="G23" i="7" s="1"/>
  <c r="DE32" i="7"/>
  <c r="BC38" i="7"/>
  <c r="BF38" i="7" s="1"/>
  <c r="BI38" i="7" s="1"/>
  <c r="BO41" i="7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CV41" i="7" s="1"/>
  <c r="G41" i="7" s="1"/>
  <c r="BG1" i="7"/>
  <c r="T20" i="8"/>
  <c r="T23" i="8" s="1"/>
  <c r="T24" i="8" s="1"/>
  <c r="T27" i="8" s="1"/>
  <c r="CM9" i="7"/>
  <c r="BB5" i="7"/>
  <c r="AZ5" i="7"/>
  <c r="CA30" i="7" l="1"/>
  <c r="CD30" i="7" s="1"/>
  <c r="CG30" i="7" s="1"/>
  <c r="CJ30" i="7" s="1"/>
  <c r="CM30" i="7" s="1"/>
  <c r="CP30" i="7" s="1"/>
  <c r="CS30" i="7" s="1"/>
  <c r="CV30" i="7" s="1"/>
  <c r="CY30" i="7" s="1"/>
  <c r="DB30" i="7" s="1"/>
  <c r="DE30" i="7" s="1"/>
  <c r="DH30" i="7" s="1"/>
  <c r="CY23" i="7"/>
  <c r="DB23" i="7" s="1"/>
  <c r="DE23" i="7" s="1"/>
  <c r="DH23" i="7" s="1"/>
  <c r="DH32" i="7"/>
  <c r="EB32" i="7" s="1"/>
  <c r="BL38" i="7"/>
  <c r="CY41" i="7"/>
  <c r="U20" i="8"/>
  <c r="U23" i="8" s="1"/>
  <c r="U24" i="8" s="1"/>
  <c r="U27" i="8" s="1"/>
  <c r="BJ1" i="7"/>
  <c r="CP9" i="7"/>
  <c r="BE5" i="7"/>
  <c r="BC5" i="7"/>
  <c r="G30" i="7" l="1"/>
  <c r="DK30" i="7"/>
  <c r="DN30" i="7" s="1"/>
  <c r="DQ30" i="7" s="1"/>
  <c r="DT30" i="7" s="1"/>
  <c r="DW30" i="7" s="1"/>
  <c r="DZ30" i="7" s="1"/>
  <c r="EB30" i="7"/>
  <c r="EB23" i="7"/>
  <c r="DK23" i="7"/>
  <c r="DN23" i="7" s="1"/>
  <c r="DQ23" i="7" s="1"/>
  <c r="DT23" i="7" s="1"/>
  <c r="DW23" i="7" s="1"/>
  <c r="DZ23" i="7" s="1"/>
  <c r="DK32" i="7"/>
  <c r="DN32" i="7" s="1"/>
  <c r="DQ32" i="7" s="1"/>
  <c r="DT32" i="7" s="1"/>
  <c r="DW32" i="7" s="1"/>
  <c r="DZ32" i="7" s="1"/>
  <c r="DB41" i="7"/>
  <c r="DE41" i="7" s="1"/>
  <c r="DH41" i="7" s="1"/>
  <c r="EB41" i="7" s="1"/>
  <c r="BO38" i="7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CV38" i="7" s="1"/>
  <c r="G38" i="7" s="1"/>
  <c r="BM1" i="7"/>
  <c r="V20" i="8"/>
  <c r="V23" i="8" s="1"/>
  <c r="V24" i="8" s="1"/>
  <c r="V27" i="8" s="1"/>
  <c r="CS9" i="7"/>
  <c r="BH5" i="7"/>
  <c r="BF5" i="7"/>
  <c r="CY38" i="7" l="1"/>
  <c r="DB38" i="7" s="1"/>
  <c r="DE38" i="7" s="1"/>
  <c r="DH38" i="7" s="1"/>
  <c r="DK38" i="7" s="1"/>
  <c r="DN38" i="7" s="1"/>
  <c r="DQ38" i="7" s="1"/>
  <c r="DT38" i="7" s="1"/>
  <c r="DW38" i="7" s="1"/>
  <c r="DZ38" i="7" s="1"/>
  <c r="DK41" i="7"/>
  <c r="DN41" i="7" s="1"/>
  <c r="DQ41" i="7" s="1"/>
  <c r="DT41" i="7" s="1"/>
  <c r="DW41" i="7" s="1"/>
  <c r="DZ41" i="7" s="1"/>
  <c r="BP1" i="7"/>
  <c r="W20" i="8"/>
  <c r="W23" i="8" s="1"/>
  <c r="W24" i="8" s="1"/>
  <c r="W27" i="8" s="1"/>
  <c r="CV9" i="7"/>
  <c r="G9" i="7" s="1"/>
  <c r="BK5" i="7"/>
  <c r="BI5" i="7"/>
  <c r="CY9" i="7" l="1"/>
  <c r="DB9" i="7" s="1"/>
  <c r="DE9" i="7" s="1"/>
  <c r="DH9" i="7" s="1"/>
  <c r="EB38" i="7"/>
  <c r="BS1" i="7"/>
  <c r="X20" i="8"/>
  <c r="X23" i="8" s="1"/>
  <c r="X24" i="8" s="1"/>
  <c r="X27" i="8" s="1"/>
  <c r="BN5" i="7"/>
  <c r="BL5" i="7"/>
  <c r="EB9" i="7" l="1"/>
  <c r="DK9" i="7"/>
  <c r="DN9" i="7" s="1"/>
  <c r="DQ9" i="7" s="1"/>
  <c r="DT9" i="7" s="1"/>
  <c r="DW9" i="7" s="1"/>
  <c r="DZ9" i="7" s="1"/>
  <c r="BV1" i="7"/>
  <c r="Y20" i="8"/>
  <c r="Y23" i="8" s="1"/>
  <c r="Y24" i="8" s="1"/>
  <c r="Y27" i="8" s="1"/>
  <c r="BQ5" i="7"/>
  <c r="BO5" i="7"/>
  <c r="Z20" i="8" l="1"/>
  <c r="Z23" i="8" s="1"/>
  <c r="Z24" i="8" s="1"/>
  <c r="Z27" i="8" s="1"/>
  <c r="BY1" i="7"/>
  <c r="BT5" i="7"/>
  <c r="BR5" i="7"/>
  <c r="AA20" i="8" l="1"/>
  <c r="CB1" i="7"/>
  <c r="BW5" i="7"/>
  <c r="BU5" i="7"/>
  <c r="AA23" i="8" l="1"/>
  <c r="AA24" i="8" s="1"/>
  <c r="AA27" i="8" s="1"/>
  <c r="CE1" i="7"/>
  <c r="AB20" i="8"/>
  <c r="BZ5" i="7"/>
  <c r="BX5" i="7"/>
  <c r="CH1" i="7" l="1"/>
  <c r="AC20" i="8"/>
  <c r="AC23" i="8" s="1"/>
  <c r="AB23" i="8"/>
  <c r="AB24" i="8" s="1"/>
  <c r="AB27" i="8" s="1"/>
  <c r="CC5" i="7"/>
  <c r="CA5" i="7"/>
  <c r="AC24" i="8" l="1"/>
  <c r="AC27" i="8" s="1"/>
  <c r="CK1" i="7"/>
  <c r="AD20" i="8"/>
  <c r="CF5" i="7"/>
  <c r="CD5" i="7"/>
  <c r="AE20" i="8" l="1"/>
  <c r="AE23" i="8" s="1"/>
  <c r="CN1" i="7"/>
  <c r="AD23" i="8"/>
  <c r="AD24" i="8" s="1"/>
  <c r="AD27" i="8" s="1"/>
  <c r="CI5" i="7"/>
  <c r="CG5" i="7"/>
  <c r="AE24" i="8" l="1"/>
  <c r="AE27" i="8" s="1"/>
  <c r="CQ1" i="7"/>
  <c r="AF20" i="8"/>
  <c r="AF23" i="8" s="1"/>
  <c r="AF24" i="8" s="1"/>
  <c r="AF27" i="8" s="1"/>
  <c r="CL5" i="7"/>
  <c r="CJ5" i="7"/>
  <c r="AG20" i="8" l="1"/>
  <c r="AG23" i="8" s="1"/>
  <c r="AG24" i="8" s="1"/>
  <c r="AG27" i="8" s="1"/>
  <c r="CT1" i="7"/>
  <c r="CO5" i="7"/>
  <c r="CM5" i="7"/>
  <c r="AH20" i="8" l="1"/>
  <c r="CW1" i="7"/>
  <c r="CR5" i="7"/>
  <c r="CP5" i="7"/>
  <c r="AH23" i="8" l="1"/>
  <c r="AH24" i="8" s="1"/>
  <c r="AH27" i="8" s="1"/>
  <c r="CZ1" i="7"/>
  <c r="AI20" i="8"/>
  <c r="AI23" i="8" s="1"/>
  <c r="CU5" i="7"/>
  <c r="I5" i="7" s="1"/>
  <c r="CS5" i="7"/>
  <c r="G11" i="6" l="1"/>
  <c r="AI24" i="8"/>
  <c r="AI27" i="8" s="1"/>
  <c r="DC1" i="7"/>
  <c r="AJ20" i="8"/>
  <c r="CX5" i="7"/>
  <c r="CV5" i="7"/>
  <c r="AK20" i="8" l="1"/>
  <c r="DF1" i="7"/>
  <c r="AJ23" i="8"/>
  <c r="AJ24" i="8" s="1"/>
  <c r="AJ27" i="8" s="1"/>
  <c r="G5" i="7"/>
  <c r="DA5" i="7"/>
  <c r="CY5" i="7"/>
  <c r="AK23" i="8" l="1"/>
  <c r="AK24" i="8" s="1"/>
  <c r="AK27" i="8" s="1"/>
  <c r="AL20" i="8"/>
  <c r="DI1" i="7"/>
  <c r="DD5" i="7"/>
  <c r="DB5" i="7"/>
  <c r="AL23" i="8" l="1"/>
  <c r="AL24" i="8" s="1"/>
  <c r="AL27" i="8" s="1"/>
  <c r="AM20" i="8"/>
  <c r="AM23" i="8" s="1"/>
  <c r="DL1" i="7"/>
  <c r="DG5" i="7"/>
  <c r="DE5" i="7"/>
  <c r="AM24" i="8" l="1"/>
  <c r="AM27" i="8" s="1"/>
  <c r="DO1" i="7"/>
  <c r="AN20" i="8"/>
  <c r="AN23" i="8" s="1"/>
  <c r="AN24" i="8" s="1"/>
  <c r="AN27" i="8" s="1"/>
  <c r="DJ5" i="7"/>
  <c r="DH5" i="7"/>
  <c r="DR1" i="7" l="1"/>
  <c r="AO20" i="8"/>
  <c r="AO23" i="8" s="1"/>
  <c r="AO24" i="8" s="1"/>
  <c r="AO27" i="8" s="1"/>
  <c r="EB5" i="7"/>
  <c r="DM5" i="7"/>
  <c r="DK5" i="7"/>
  <c r="DU1" i="7" l="1"/>
  <c r="AP20" i="8"/>
  <c r="AP23" i="8" s="1"/>
  <c r="AP24" i="8" s="1"/>
  <c r="AP27" i="8" s="1"/>
  <c r="DP5" i="7"/>
  <c r="DN5" i="7"/>
  <c r="AQ20" i="8" l="1"/>
  <c r="AQ23" i="8" s="1"/>
  <c r="AQ24" i="8" s="1"/>
  <c r="AQ27" i="8" s="1"/>
  <c r="DX1" i="7"/>
  <c r="AR20" i="8" s="1"/>
  <c r="DS5" i="7"/>
  <c r="DQ5" i="7"/>
  <c r="AR23" i="8" l="1"/>
  <c r="AR24" i="8" s="1"/>
  <c r="AR27" i="8" s="1"/>
  <c r="DV5" i="7"/>
  <c r="DT5" i="7"/>
  <c r="DY5" i="7" l="1"/>
  <c r="DW5" i="7"/>
  <c r="DZ5" i="7" l="1"/>
  <c r="AS61" i="7" l="1"/>
  <c r="AV4" i="7"/>
  <c r="Q22" i="8" s="1"/>
  <c r="Q28" i="8" l="1"/>
  <c r="Q25" i="8"/>
  <c r="AV61" i="7"/>
  <c r="AY4" i="7"/>
  <c r="R22" i="8" s="1"/>
  <c r="R28" i="8" l="1"/>
  <c r="R25" i="8"/>
  <c r="AY61" i="7"/>
  <c r="BB4" i="7"/>
  <c r="S22" i="8" s="1"/>
  <c r="S28" i="8" l="1"/>
  <c r="S25" i="8"/>
  <c r="BB61" i="7"/>
  <c r="BE4" i="7"/>
  <c r="T22" i="8" s="1"/>
  <c r="T28" i="8" l="1"/>
  <c r="T25" i="8"/>
  <c r="BE61" i="7"/>
  <c r="BH4" i="7"/>
  <c r="U22" i="8" s="1"/>
  <c r="U28" i="8" l="1"/>
  <c r="U25" i="8"/>
  <c r="BH61" i="7"/>
  <c r="BK4" i="7"/>
  <c r="V22" i="8" s="1"/>
  <c r="V28" i="8" l="1"/>
  <c r="V25" i="8"/>
  <c r="BK61" i="7"/>
  <c r="BN4" i="7"/>
  <c r="W22" i="8" s="1"/>
  <c r="W28" i="8" l="1"/>
  <c r="W25" i="8"/>
  <c r="BQ4" i="7"/>
  <c r="X22" i="8" s="1"/>
  <c r="BN61" i="7"/>
  <c r="X28" i="8" l="1"/>
  <c r="X25" i="8"/>
  <c r="BQ61" i="7"/>
  <c r="BT4" i="7"/>
  <c r="Y22" i="8" s="1"/>
  <c r="Y28" i="8" l="1"/>
  <c r="Y25" i="8"/>
  <c r="BW4" i="7"/>
  <c r="Z22" i="8" s="1"/>
  <c r="BT61" i="7"/>
  <c r="Z28" i="8" l="1"/>
  <c r="Z25" i="8"/>
  <c r="BW61" i="7"/>
  <c r="BZ4" i="7"/>
  <c r="AA22" i="8" s="1"/>
  <c r="AA28" i="8" l="1"/>
  <c r="AA25" i="8"/>
  <c r="CC4" i="7"/>
  <c r="AB22" i="8" s="1"/>
  <c r="BZ61" i="7"/>
  <c r="AB28" i="8" l="1"/>
  <c r="AB25" i="8"/>
  <c r="CC61" i="7"/>
  <c r="CF4" i="7"/>
  <c r="AC22" i="8" s="1"/>
  <c r="AC28" i="8" l="1"/>
  <c r="AC25" i="8"/>
  <c r="CF61" i="7"/>
  <c r="CI4" i="7"/>
  <c r="AD22" i="8" s="1"/>
  <c r="AD28" i="8" l="1"/>
  <c r="AD25" i="8"/>
  <c r="CL4" i="7"/>
  <c r="AE22" i="8" s="1"/>
  <c r="CI61" i="7"/>
  <c r="AE28" i="8" l="1"/>
  <c r="AE25" i="8"/>
  <c r="CO4" i="7"/>
  <c r="AF22" i="8" s="1"/>
  <c r="CL61" i="7"/>
  <c r="AF28" i="8" l="1"/>
  <c r="AF25" i="8"/>
  <c r="CO61" i="7"/>
  <c r="CR4" i="7"/>
  <c r="AG22" i="8" s="1"/>
  <c r="AG28" i="8" l="1"/>
  <c r="AG25" i="8"/>
  <c r="CR61" i="7"/>
  <c r="CU4" i="7"/>
  <c r="AH22" i="8" l="1"/>
  <c r="AH28" i="8" s="1"/>
  <c r="G8" i="6"/>
  <c r="I4" i="7"/>
  <c r="G15" i="6"/>
  <c r="CU61" i="7"/>
  <c r="CX4" i="7"/>
  <c r="AI22" i="8" s="1"/>
  <c r="G12" i="6"/>
  <c r="AH25" i="8" l="1"/>
  <c r="AI28" i="8"/>
  <c r="AI25" i="8"/>
  <c r="C8" i="6"/>
  <c r="C10" i="6" s="1"/>
  <c r="L61" i="7"/>
  <c r="CX61" i="7"/>
  <c r="DA4" i="7"/>
  <c r="O61" i="7" l="1"/>
  <c r="AJ22" i="8"/>
  <c r="DA61" i="7"/>
  <c r="DD4" i="7"/>
  <c r="AJ28" i="8" l="1"/>
  <c r="AJ25" i="8"/>
  <c r="R61" i="7"/>
  <c r="AK22" i="8"/>
  <c r="DD61" i="7"/>
  <c r="DG4" i="7"/>
  <c r="AK28" i="8" l="1"/>
  <c r="AK25" i="8"/>
  <c r="U61" i="7"/>
  <c r="AL22" i="8"/>
  <c r="DG61" i="7"/>
  <c r="DJ4" i="7"/>
  <c r="X61" i="7" l="1"/>
  <c r="AM22" i="8"/>
  <c r="AL28" i="8"/>
  <c r="AL25" i="8"/>
  <c r="DJ61" i="7"/>
  <c r="DM4" i="7"/>
  <c r="AM28" i="8" l="1"/>
  <c r="AM25" i="8"/>
  <c r="AA61" i="7"/>
  <c r="AN22" i="8"/>
  <c r="DP4" i="7"/>
  <c r="DM61" i="7"/>
  <c r="AN28" i="8" l="1"/>
  <c r="AN25" i="8"/>
  <c r="AD61" i="7"/>
  <c r="AO22" i="8"/>
  <c r="DP61" i="7"/>
  <c r="DS4" i="7"/>
  <c r="AO28" i="8" l="1"/>
  <c r="AO25" i="8"/>
  <c r="AG61" i="7"/>
  <c r="AP22" i="8"/>
  <c r="DS61" i="7"/>
  <c r="DV4" i="7"/>
  <c r="AP28" i="8" l="1"/>
  <c r="AP25" i="8"/>
  <c r="AJ61" i="7"/>
  <c r="AQ22" i="8"/>
  <c r="DV61" i="7"/>
  <c r="DY4" i="7"/>
  <c r="AQ28" i="8" l="1"/>
  <c r="AQ25" i="8"/>
  <c r="AM61" i="7"/>
  <c r="AR22" i="8"/>
  <c r="DY61" i="7"/>
  <c r="J61" i="7"/>
  <c r="AP61" i="7"/>
  <c r="AW4" i="7"/>
  <c r="AR28" i="8" l="1"/>
  <c r="AR25" i="8"/>
  <c r="Q36" i="8"/>
  <c r="Q31" i="8"/>
  <c r="Q35" i="8"/>
  <c r="Q37" i="8"/>
  <c r="AZ4" i="7"/>
  <c r="BC4" i="7" l="1"/>
  <c r="R37" i="8"/>
  <c r="R36" i="8"/>
  <c r="R31" i="8"/>
  <c r="R35" i="8"/>
  <c r="S31" i="8" l="1"/>
  <c r="S36" i="8"/>
  <c r="S35" i="8"/>
  <c r="S37" i="8"/>
  <c r="BF4" i="7"/>
  <c r="T37" i="8" l="1"/>
  <c r="T35" i="8"/>
  <c r="T31" i="8"/>
  <c r="T36" i="8"/>
  <c r="BI4" i="7"/>
  <c r="BL4" i="7" l="1"/>
  <c r="U37" i="8"/>
  <c r="U31" i="8"/>
  <c r="U36" i="8"/>
  <c r="U35" i="8"/>
  <c r="BO4" i="7" l="1"/>
  <c r="V31" i="8"/>
  <c r="V36" i="8"/>
  <c r="V35" i="8"/>
  <c r="V37" i="8"/>
  <c r="BR4" i="7" l="1"/>
  <c r="BU4" i="7" s="1"/>
  <c r="W35" i="8"/>
  <c r="W37" i="8"/>
  <c r="W36" i="8"/>
  <c r="W31" i="8"/>
  <c r="X35" i="8" l="1"/>
  <c r="X36" i="8"/>
  <c r="X31" i="8"/>
  <c r="X37" i="8"/>
  <c r="BX4" i="7"/>
  <c r="CA4" i="7" s="1"/>
  <c r="Y31" i="8"/>
  <c r="Y37" i="8"/>
  <c r="Y36" i="8"/>
  <c r="Y35" i="8"/>
  <c r="CD4" i="7" l="1"/>
  <c r="AA36" i="8"/>
  <c r="AA31" i="8"/>
  <c r="AA35" i="8"/>
  <c r="AA37" i="8"/>
  <c r="Z37" i="8"/>
  <c r="Z31" i="8"/>
  <c r="Z35" i="8"/>
  <c r="Z36" i="8"/>
  <c r="CG4" i="7" l="1"/>
  <c r="AB36" i="8"/>
  <c r="AB31" i="8"/>
  <c r="AB35" i="8"/>
  <c r="AB37" i="8"/>
  <c r="CJ4" i="7" l="1"/>
  <c r="AC37" i="8"/>
  <c r="AC35" i="8"/>
  <c r="AC36" i="8"/>
  <c r="AC31" i="8"/>
  <c r="AD36" i="8" l="1"/>
  <c r="AD31" i="8"/>
  <c r="AD37" i="8"/>
  <c r="AD35" i="8"/>
  <c r="CM4" i="7"/>
  <c r="CP4" i="7" l="1"/>
  <c r="AE37" i="8"/>
  <c r="AE35" i="8"/>
  <c r="AE36" i="8"/>
  <c r="AE31" i="8"/>
  <c r="CS4" i="7" l="1"/>
  <c r="AF31" i="8"/>
  <c r="AF35" i="8"/>
  <c r="AF36" i="8"/>
  <c r="AF37" i="8"/>
  <c r="CV4" i="7" l="1"/>
  <c r="AG37" i="8"/>
  <c r="AG31" i="8"/>
  <c r="AG35" i="8"/>
  <c r="AG36" i="8"/>
  <c r="CY4" i="7" l="1"/>
  <c r="DB4" i="7" s="1"/>
  <c r="AH35" i="8"/>
  <c r="AH37" i="8"/>
  <c r="AH31" i="8"/>
  <c r="AH36" i="8"/>
  <c r="G4" i="7"/>
  <c r="CY61" i="7" l="1"/>
  <c r="AI35" i="8"/>
  <c r="AI31" i="8"/>
  <c r="AI37" i="8"/>
  <c r="AI36" i="8"/>
  <c r="DE4" i="7"/>
  <c r="AJ31" i="8"/>
  <c r="AJ35" i="8"/>
  <c r="AJ36" i="8"/>
  <c r="AJ37" i="8"/>
  <c r="DB61" i="7"/>
  <c r="DH4" i="7" l="1"/>
  <c r="DK4" i="7" s="1"/>
  <c r="AK35" i="8"/>
  <c r="AK37" i="8"/>
  <c r="AK31" i="8"/>
  <c r="AK36" i="8"/>
  <c r="DE61" i="7"/>
  <c r="DH61" i="7" l="1"/>
  <c r="AL35" i="8"/>
  <c r="AL37" i="8"/>
  <c r="AL36" i="8"/>
  <c r="AL31" i="8"/>
  <c r="EB4" i="7"/>
  <c r="DK61" i="7"/>
  <c r="AM35" i="8"/>
  <c r="AM36" i="8"/>
  <c r="AM33" i="8"/>
  <c r="AM29" i="8" s="1"/>
  <c r="AM37" i="8"/>
  <c r="AM31" i="8"/>
  <c r="DN4" i="7"/>
  <c r="E33" i="8" l="1"/>
  <c r="N33" i="8"/>
  <c r="O33" i="8"/>
  <c r="P33" i="8"/>
  <c r="J33" i="8"/>
  <c r="L33" i="8"/>
  <c r="I33" i="8"/>
  <c r="M33" i="8"/>
  <c r="K33" i="8"/>
  <c r="H33" i="8"/>
  <c r="G33" i="8"/>
  <c r="F33" i="8"/>
  <c r="Q33" i="8"/>
  <c r="R33" i="8"/>
  <c r="S33" i="8"/>
  <c r="T33" i="8"/>
  <c r="U33" i="8"/>
  <c r="V33" i="8"/>
  <c r="W33" i="8"/>
  <c r="X33" i="8"/>
  <c r="Y33" i="8"/>
  <c r="AA33" i="8"/>
  <c r="Z33" i="8"/>
  <c r="AB33" i="8"/>
  <c r="AE33" i="8"/>
  <c r="AF33" i="8"/>
  <c r="AG33" i="8"/>
  <c r="AC33" i="8"/>
  <c r="AD33" i="8"/>
  <c r="AH33" i="8"/>
  <c r="AJ33" i="8"/>
  <c r="AI33" i="8"/>
  <c r="AK33" i="8"/>
  <c r="AL33" i="8"/>
  <c r="AL29" i="8" s="1"/>
  <c r="AM32" i="8"/>
  <c r="DN61" i="7"/>
  <c r="AN35" i="8"/>
  <c r="AN36" i="8"/>
  <c r="AN33" i="8"/>
  <c r="AN29" i="8" s="1"/>
  <c r="AN31" i="8"/>
  <c r="AN37" i="8"/>
  <c r="DQ4" i="7"/>
  <c r="AB29" i="8" l="1"/>
  <c r="AB32" i="8"/>
  <c r="F29" i="8"/>
  <c r="F32" i="8"/>
  <c r="AL32" i="8"/>
  <c r="Z29" i="8"/>
  <c r="Z32" i="8"/>
  <c r="G32" i="8"/>
  <c r="G29" i="8"/>
  <c r="AA29" i="8"/>
  <c r="AA32" i="8"/>
  <c r="H29" i="8"/>
  <c r="H32" i="8"/>
  <c r="AK29" i="8"/>
  <c r="AK32" i="8"/>
  <c r="Y29" i="8"/>
  <c r="Y32" i="8"/>
  <c r="K29" i="8"/>
  <c r="K32" i="8"/>
  <c r="AI29" i="8"/>
  <c r="AI32" i="8"/>
  <c r="X29" i="8"/>
  <c r="X32" i="8"/>
  <c r="M32" i="8"/>
  <c r="M29" i="8"/>
  <c r="AJ29" i="8"/>
  <c r="AJ32" i="8"/>
  <c r="W29" i="8"/>
  <c r="W32" i="8"/>
  <c r="I32" i="8"/>
  <c r="I29" i="8"/>
  <c r="AH29" i="8"/>
  <c r="AH32" i="8"/>
  <c r="V29" i="8"/>
  <c r="V32" i="8"/>
  <c r="L32" i="8"/>
  <c r="L29" i="8"/>
  <c r="AD29" i="8"/>
  <c r="AD32" i="8"/>
  <c r="U29" i="8"/>
  <c r="U32" i="8"/>
  <c r="J29" i="8"/>
  <c r="J32" i="8"/>
  <c r="AC29" i="8"/>
  <c r="AC32" i="8"/>
  <c r="T29" i="8"/>
  <c r="T32" i="8"/>
  <c r="P32" i="8"/>
  <c r="P29" i="8"/>
  <c r="AG29" i="8"/>
  <c r="AG32" i="8"/>
  <c r="S29" i="8"/>
  <c r="S32" i="8"/>
  <c r="O29" i="8"/>
  <c r="O32" i="8"/>
  <c r="R29" i="8"/>
  <c r="R32" i="8"/>
  <c r="N29" i="8"/>
  <c r="N32" i="8"/>
  <c r="AF29" i="8"/>
  <c r="AF32" i="8"/>
  <c r="AE29" i="8"/>
  <c r="AE32" i="8"/>
  <c r="Q29" i="8"/>
  <c r="Q32" i="8"/>
  <c r="E32" i="8"/>
  <c r="E29" i="8"/>
  <c r="AN32" i="8"/>
  <c r="DQ61" i="7"/>
  <c r="AO37" i="8"/>
  <c r="AO33" i="8"/>
  <c r="AO29" i="8" s="1"/>
  <c r="AO36" i="8"/>
  <c r="AO35" i="8"/>
  <c r="AO31" i="8"/>
  <c r="DT4" i="7"/>
  <c r="AO32" i="8" l="1"/>
  <c r="DW4" i="7"/>
  <c r="AP35" i="8"/>
  <c r="AP37" i="8"/>
  <c r="AP33" i="8"/>
  <c r="AP29" i="8" s="1"/>
  <c r="AP31" i="8"/>
  <c r="AP36" i="8"/>
  <c r="DT61" i="7"/>
  <c r="AP32" i="8" l="1"/>
  <c r="DZ4" i="7"/>
  <c r="AQ33" i="8"/>
  <c r="AQ29" i="8" s="1"/>
  <c r="AQ37" i="8"/>
  <c r="AQ36" i="8"/>
  <c r="AQ35" i="8"/>
  <c r="AQ31" i="8"/>
  <c r="DW61" i="7"/>
  <c r="AQ32" i="8" l="1"/>
  <c r="DZ61" i="7"/>
  <c r="AR35" i="8"/>
  <c r="AR36" i="8"/>
  <c r="AR33" i="8"/>
  <c r="AR29" i="8" s="1"/>
  <c r="AR31" i="8"/>
  <c r="AR37" i="8"/>
  <c r="AR3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goebelm</author>
  </authors>
  <commentList>
    <comment ref="H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goebelm:</t>
        </r>
        <r>
          <rPr>
            <sz val="8"/>
            <color indexed="81"/>
            <rFont val="Tahoma"/>
            <family val="2"/>
          </rPr>
          <t xml:space="preserve">
Initial =first estimated effort (can be equal to column J if planned effort has not changed)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Waletzky</author>
  </authors>
  <commentList>
    <comment ref="E41" authorId="0" shapeId="0" xr:uid="{00000000-0006-0000-0200-000001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<sst xmlns="http://schemas.openxmlformats.org/spreadsheetml/2006/main" count="314" uniqueCount="157">
  <si>
    <t>Owner</t>
  </si>
  <si>
    <t>Status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</si>
  <si>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</si>
  <si>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</si>
  <si>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</si>
  <si>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</si>
  <si>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</si>
  <si>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</si>
  <si>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</si>
  <si>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</si>
  <si>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</si>
  <si>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</si>
  <si>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</si>
  <si>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</si>
  <si>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</si>
  <si>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</si>
  <si>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</si>
  <si>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</si>
  <si>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</si>
  <si>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</si>
  <si>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</si>
  <si>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</si>
  <si>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</si>
  <si>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</si>
  <si>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</si>
  <si>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</si>
  <si>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</si>
  <si>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</si>
  <si>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</si>
  <si>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</si>
  <si>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</si>
  <si>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</si>
  <si>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</si>
  <si>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</si>
  <si>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</si>
  <si>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</si>
  <si>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</si>
  <si>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</si>
  <si>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</si>
  <si>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</si>
  <si>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</si>
  <si>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</si>
  <si>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</si>
  <si>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</si>
  <si>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</si>
  <si>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</si>
  <si>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</si>
  <si>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</si>
  <si>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</si>
  <si>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</si>
  <si>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</si>
  <si>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</si>
  <si>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</si>
  <si>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</si>
  <si>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</si>
  <si>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</si>
  <si>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</si>
  <si>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</si>
  <si>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</si>
  <si>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</si>
  <si>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</si>
  <si>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</si>
  <si>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</si>
  <si>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</si>
  <si>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</si>
  <si>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</si>
  <si>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</si>
  <si>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</si>
  <si>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</si>
  <si>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</si>
  <si>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</si>
  <si>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</si>
  <si>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</si>
  <si>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</si>
  <si>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</si>
  <si>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</si>
  <si>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</si>
  <si>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</si>
  <si>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</si>
  <si>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</si>
  <si>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</si>
  <si>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</si>
  <si>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</si>
  <si>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</si>
  <si>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</si>
  <si>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</si>
  <si>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</si>
  <si>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</si>
  <si>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</si>
  <si>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</si>
  <si>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</si>
  <si>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</si>
  <si>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</si>
  <si>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</si>
  <si>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</si>
  <si>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</si>
  <si>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</si>
  <si>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</si>
  <si>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</si>
  <si>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</si>
  <si>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</si>
  <si>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</si>
  <si>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</si>
  <si>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</si>
  <si>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</si>
  <si>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</si>
  <si>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</si>
  <si>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</si>
  <si>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</si>
  <si>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EMAIL ALIAS</t>
  </si>
  <si>
    <t>List of Open Points Item or Group</t>
  </si>
  <si>
    <t>IRQ</t>
  </si>
  <si>
    <t>Effort</t>
  </si>
  <si>
    <t>Remaining Effort</t>
  </si>
  <si>
    <t>Definition of Done</t>
  </si>
  <si>
    <t>PO</t>
  </si>
  <si>
    <t>Blocker</t>
  </si>
  <si>
    <t>Solution</t>
  </si>
  <si>
    <t>Remaining IRQ Buffer</t>
  </si>
  <si>
    <t>Planed</t>
  </si>
  <si>
    <t>#</t>
  </si>
  <si>
    <t>mon</t>
  </si>
  <si>
    <t># Who</t>
  </si>
  <si>
    <t xml:space="preserve">Necesseary improvement </t>
  </si>
  <si>
    <t>Nr</t>
  </si>
  <si>
    <t>Milestone</t>
  </si>
  <si>
    <t>Effort Estimation (h)</t>
  </si>
  <si>
    <t>Short description</t>
  </si>
  <si>
    <t>TM1</t>
  </si>
  <si>
    <t>TM2</t>
  </si>
  <si>
    <t>Erste Kapiteln des Entwicklungsplans definieren</t>
  </si>
  <si>
    <t>Sprint 1</t>
  </si>
  <si>
    <t>Alle Informationen in den jeweiligen Kapiteln sind angegeben:
- Titel des Projektes
- Team Mitglieder mit Rollen und Verantwortlichkeiten
- Scrum als Entwicklungsmethode
- Länge vom Sprint
- Wann und wie wird ein Sprint geplant
- Sprint Daily meetings
- Wann und wie wird Sprint Review gemacht
- Wann und wie wird Sprint Retrospective gemacht
- Welche Form gat die Kanban Board
- Welche Tools werden für Kanban und Sprint verwendet
- Projektablage wo, wie?
- Versionierung: wo, wie? Tools?</t>
  </si>
  <si>
    <t>DSP Anwendung identifizieren</t>
  </si>
  <si>
    <t>Entwicklungsboard kennenlernen</t>
  </si>
  <si>
    <t>DSP Anwendung kurz beschreiben</t>
  </si>
  <si>
    <t>Erfahrungen über Inbetriebnahme / Auffälligkeinten / Besonderheiten mit den anderen teilen</t>
  </si>
  <si>
    <t>siehe General Backlog</t>
  </si>
  <si>
    <t xml:space="preserve">Entwicklungsplan über Projektorganization definieren
DSP Anwendung identifizieren </t>
  </si>
  <si>
    <t>T1</t>
  </si>
  <si>
    <t>Sprintziel:</t>
  </si>
  <si>
    <t>Backlog siehe General Backlog</t>
  </si>
  <si>
    <t>Anforderungsdefinition</t>
  </si>
  <si>
    <t>Architekturdefinition</t>
  </si>
  <si>
    <t>Implementierung</t>
  </si>
  <si>
    <t>Verifizierung</t>
  </si>
  <si>
    <t>Abgeschlossen</t>
  </si>
  <si>
    <t>Alexander Graf</t>
  </si>
  <si>
    <t>Felix Maunz</t>
  </si>
  <si>
    <t>David Rösch</t>
  </si>
  <si>
    <t>Jacob Jäger</t>
  </si>
  <si>
    <t>Johannes Winter</t>
  </si>
  <si>
    <t>Scrum Master</t>
  </si>
  <si>
    <t>SW1</t>
  </si>
  <si>
    <t>SW2</t>
  </si>
  <si>
    <t>SW Tester1</t>
  </si>
  <si>
    <t>HW/SW Tester2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</si>
</sst>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54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theme="0"/>
      <name val="Tahoma"/>
      <family val="2"/>
    </font>
    <font>
      <u/>
      <sz val="10"/>
      <color theme="0"/>
      <name val="Arial"/>
      <family val="2"/>
    </font>
    <font>
      <b/>
      <sz val="10"/>
      <name val="Arial"/>
      <family val="2"/>
    </font>
    <font>
      <sz val="24"/>
      <name val="Arial"/>
      <family val="2"/>
    </font>
    <font>
      <sz val="8"/>
      <color theme="1"/>
      <name val="Tahoma"/>
      <family val="2"/>
    </font>
    <font>
      <sz val="18"/>
      <name val="Arial"/>
      <family val="2"/>
    </font>
    <font>
      <b/>
      <sz val="11"/>
      <color indexed="16"/>
      <name val="Calibri"/>
      <family val="2"/>
    </font>
    <font>
      <b/>
      <sz val="11"/>
      <color indexed="60"/>
      <name val="Calibri"/>
      <family val="2"/>
    </font>
    <font>
      <b/>
      <sz val="11"/>
      <color indexed="17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/>
      <diagonal/>
    </border>
    <border>
      <left style="thin">
        <color indexed="23"/>
      </left>
      <right style="thin">
        <color indexed="23"/>
      </right>
      <top style="thick">
        <color indexed="12"/>
      </top>
      <bottom/>
      <diagonal/>
    </border>
    <border>
      <left/>
      <right style="thin">
        <color indexed="23"/>
      </right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4" fillId="0" borderId="0">
      <alignment wrapText="1"/>
    </xf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29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6" fillId="29" borderId="0" applyNumberFormat="0" applyBorder="0" applyAlignment="0" applyProtection="0"/>
    <xf numFmtId="0" fontId="6" fillId="40" borderId="0" applyNumberFormat="0" applyBorder="0" applyAlignment="0" applyProtection="0"/>
    <xf numFmtId="0" fontId="43" fillId="24" borderId="7" applyNumberFormat="0" applyFont="0" applyAlignment="0" applyProtection="0"/>
    <xf numFmtId="0" fontId="43" fillId="0" borderId="0"/>
    <xf numFmtId="0" fontId="44" fillId="41" borderId="52">
      <alignment vertical="center"/>
    </xf>
    <xf numFmtId="0" fontId="4" fillId="0" borderId="0"/>
    <xf numFmtId="9" fontId="4" fillId="0" borderId="0" applyFont="0" applyFill="0" applyBorder="0" applyAlignment="0" applyProtection="0"/>
  </cellStyleXfs>
  <cellXfs count="24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Border="1" applyAlignment="1">
      <alignment horizontal="left" indent="1"/>
    </xf>
    <xf numFmtId="0" fontId="21" fillId="0" borderId="11" xfId="0" applyFont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/>
    <xf numFmtId="1" fontId="21" fillId="0" borderId="13" xfId="0" applyNumberFormat="1" applyFont="1" applyBorder="1"/>
    <xf numFmtId="0" fontId="21" fillId="22" borderId="0" xfId="0" applyFont="1" applyFill="1"/>
    <xf numFmtId="49" fontId="22" fillId="0" borderId="0" xfId="0" applyNumberFormat="1" applyFont="1" applyAlignment="1">
      <alignment shrinkToFit="1"/>
    </xf>
    <xf numFmtId="0" fontId="28" fillId="23" borderId="0" xfId="0" applyFont="1" applyFill="1"/>
    <xf numFmtId="1" fontId="29" fillId="20" borderId="0" xfId="0" applyNumberFormat="1" applyFont="1" applyFill="1"/>
    <xf numFmtId="49" fontId="21" fillId="0" borderId="11" xfId="0" applyNumberFormat="1" applyFont="1" applyBorder="1" applyAlignment="1">
      <alignment horizontal="left" indent="2"/>
    </xf>
    <xf numFmtId="0" fontId="21" fillId="20" borderId="0" xfId="0" applyFont="1" applyFill="1"/>
    <xf numFmtId="0" fontId="21" fillId="23" borderId="0" xfId="0" applyFont="1" applyFill="1"/>
    <xf numFmtId="1" fontId="22" fillId="20" borderId="0" xfId="0" applyNumberFormat="1" applyFont="1" applyFill="1"/>
    <xf numFmtId="0" fontId="22" fillId="23" borderId="0" xfId="0" applyFont="1" applyFill="1" applyAlignment="1">
      <alignment horizontal="left"/>
    </xf>
    <xf numFmtId="9" fontId="21" fillId="20" borderId="0" xfId="0" applyNumberFormat="1" applyFont="1" applyFill="1"/>
    <xf numFmtId="0" fontId="30" fillId="20" borderId="0" xfId="0" applyFont="1" applyFill="1"/>
    <xf numFmtId="9" fontId="22" fillId="20" borderId="0" xfId="0" applyNumberFormat="1" applyFont="1" applyFill="1"/>
    <xf numFmtId="0" fontId="31" fillId="20" borderId="0" xfId="0" applyFont="1" applyFill="1"/>
    <xf numFmtId="0" fontId="30" fillId="23" borderId="0" xfId="0" applyFont="1" applyFill="1"/>
    <xf numFmtId="14" fontId="30" fillId="20" borderId="0" xfId="0" applyNumberFormat="1" applyFont="1" applyFill="1"/>
    <xf numFmtId="1" fontId="21" fillId="20" borderId="0" xfId="0" applyNumberFormat="1" applyFont="1" applyFill="1"/>
    <xf numFmtId="0" fontId="32" fillId="20" borderId="0" xfId="0" applyFont="1" applyFill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Font="1" applyFill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/>
    <xf numFmtId="0" fontId="32" fillId="21" borderId="21" xfId="0" applyFont="1" applyFill="1" applyBorder="1"/>
    <xf numFmtId="0" fontId="32" fillId="21" borderId="20" xfId="0" applyFont="1" applyFill="1" applyBorder="1"/>
    <xf numFmtId="0" fontId="32" fillId="21" borderId="22" xfId="0" applyFont="1" applyFill="1" applyBorder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horizontal="center" vertical="top" wrapText="1"/>
    </xf>
    <xf numFmtId="0" fontId="21" fillId="21" borderId="0" xfId="0" applyFont="1" applyFill="1" applyAlignment="1">
      <alignment vertical="top" wrapText="1"/>
    </xf>
    <xf numFmtId="0" fontId="36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vertical="top" wrapText="1"/>
    </xf>
    <xf numFmtId="0" fontId="33" fillId="21" borderId="0" xfId="0" applyFont="1" applyFill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Alignment="1">
      <alignment horizontal="left" vertical="top" wrapText="1"/>
    </xf>
    <xf numFmtId="0" fontId="25" fillId="21" borderId="32" xfId="0" applyFont="1" applyFill="1" applyBorder="1"/>
    <xf numFmtId="166" fontId="25" fillId="21" borderId="0" xfId="0" applyNumberFormat="1" applyFont="1" applyFill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/>
    <xf numFmtId="0" fontId="36" fillId="28" borderId="0" xfId="0" applyFont="1" applyFill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21" fillId="0" borderId="43" xfId="0" applyFont="1" applyBorder="1"/>
    <xf numFmtId="0" fontId="21" fillId="0" borderId="44" xfId="0" applyFont="1" applyBorder="1" applyAlignment="1">
      <alignment horizontal="left" vertical="top"/>
    </xf>
    <xf numFmtId="0" fontId="21" fillId="0" borderId="45" xfId="0" applyFont="1" applyBorder="1" applyAlignment="1">
      <alignment horizontal="left"/>
    </xf>
    <xf numFmtId="0" fontId="21" fillId="0" borderId="45" xfId="36" applyFont="1" applyFill="1" applyBorder="1" applyAlignment="1" applyProtection="1">
      <alignment horizontal="left" wrapText="1"/>
    </xf>
    <xf numFmtId="0" fontId="21" fillId="0" borderId="46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/>
    <xf numFmtId="9" fontId="21" fillId="0" borderId="0" xfId="0" applyNumberFormat="1" applyFont="1"/>
    <xf numFmtId="0" fontId="21" fillId="0" borderId="0" xfId="0" applyFont="1"/>
    <xf numFmtId="0" fontId="21" fillId="31" borderId="0" xfId="0" applyFont="1" applyFill="1"/>
    <xf numFmtId="164" fontId="21" fillId="0" borderId="0" xfId="0" applyNumberFormat="1" applyFont="1"/>
    <xf numFmtId="164" fontId="21" fillId="31" borderId="0" xfId="0" applyNumberFormat="1" applyFont="1" applyFill="1"/>
    <xf numFmtId="0" fontId="22" fillId="0" borderId="0" xfId="0" applyFont="1"/>
    <xf numFmtId="165" fontId="21" fillId="31" borderId="0" xfId="0" applyNumberFormat="1" applyFont="1" applyFill="1"/>
    <xf numFmtId="1" fontId="21" fillId="0" borderId="0" xfId="0" applyNumberFormat="1" applyFont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/>
    <xf numFmtId="0" fontId="40" fillId="20" borderId="0" xfId="0" applyFont="1" applyFill="1"/>
    <xf numFmtId="0" fontId="39" fillId="0" borderId="0" xfId="0" applyFont="1"/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50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33" fillId="30" borderId="11" xfId="0" applyFont="1" applyFill="1" applyBorder="1" applyAlignment="1">
      <alignment horizontal="center"/>
    </xf>
    <xf numFmtId="0" fontId="33" fillId="30" borderId="11" xfId="0" applyFont="1" applyFill="1" applyBorder="1" applyAlignment="1">
      <alignment horizontal="left"/>
    </xf>
    <xf numFmtId="0" fontId="21" fillId="30" borderId="11" xfId="0" applyFont="1" applyFill="1" applyBorder="1" applyAlignment="1">
      <alignment horizontal="left"/>
    </xf>
    <xf numFmtId="49" fontId="21" fillId="30" borderId="11" xfId="0" applyNumberFormat="1" applyFont="1" applyFill="1" applyBorder="1" applyAlignment="1">
      <alignment horizontal="left"/>
    </xf>
    <xf numFmtId="0" fontId="37" fillId="30" borderId="11" xfId="36" applyFont="1" applyFill="1" applyBorder="1" applyAlignment="1" applyProtection="1">
      <alignment horizontal="left"/>
    </xf>
    <xf numFmtId="0" fontId="21" fillId="30" borderId="11" xfId="36" applyFont="1" applyFill="1" applyBorder="1" applyAlignment="1" applyProtection="1">
      <alignment horizontal="left" wrapText="1"/>
    </xf>
    <xf numFmtId="0" fontId="21" fillId="30" borderId="11" xfId="0" applyFont="1" applyFill="1" applyBorder="1" applyAlignment="1">
      <alignment wrapText="1"/>
    </xf>
    <xf numFmtId="0" fontId="21" fillId="30" borderId="11" xfId="36" applyFont="1" applyFill="1" applyBorder="1" applyAlignment="1" applyProtection="1">
      <alignment horizontal="left"/>
    </xf>
    <xf numFmtId="0" fontId="38" fillId="30" borderId="11" xfId="0" applyFont="1" applyFill="1" applyBorder="1" applyAlignment="1">
      <alignment horizontal="left"/>
    </xf>
    <xf numFmtId="0" fontId="21" fillId="30" borderId="11" xfId="0" applyFont="1" applyFill="1" applyBorder="1"/>
    <xf numFmtId="49" fontId="21" fillId="30" borderId="11" xfId="0" quotePrefix="1" applyNumberFormat="1" applyFont="1" applyFill="1" applyBorder="1" applyAlignment="1">
      <alignment horizontal="left"/>
    </xf>
    <xf numFmtId="0" fontId="42" fillId="30" borderId="11" xfId="36" applyFont="1" applyFill="1" applyBorder="1" applyAlignment="1" applyProtection="1">
      <alignment horizontal="left"/>
    </xf>
    <xf numFmtId="0" fontId="42" fillId="30" borderId="11" xfId="36" applyFont="1" applyFill="1" applyBorder="1" applyAlignment="1" applyProtection="1">
      <alignment wrapText="1"/>
    </xf>
    <xf numFmtId="0" fontId="42" fillId="30" borderId="11" xfId="36" applyFont="1" applyFill="1" applyBorder="1" applyAlignment="1" applyProtection="1">
      <alignment horizontal="left" wrapText="1"/>
    </xf>
    <xf numFmtId="0" fontId="42" fillId="30" borderId="11" xfId="36" applyFont="1" applyFill="1" applyBorder="1" applyAlignment="1" applyProtection="1"/>
    <xf numFmtId="0" fontId="45" fillId="20" borderId="0" xfId="0" applyFont="1" applyFill="1"/>
    <xf numFmtId="0" fontId="46" fillId="20" borderId="0" xfId="36" applyFont="1" applyFill="1" applyAlignment="1" applyProtection="1">
      <alignment horizontal="left" wrapText="1"/>
    </xf>
    <xf numFmtId="0" fontId="43" fillId="0" borderId="0" xfId="0" applyFont="1"/>
    <xf numFmtId="0" fontId="4" fillId="0" borderId="0" xfId="0" applyFont="1"/>
    <xf numFmtId="49" fontId="21" fillId="0" borderId="47" xfId="0" applyNumberFormat="1" applyFont="1" applyBorder="1" applyAlignment="1">
      <alignment horizontal="left" indent="2"/>
    </xf>
    <xf numFmtId="49" fontId="21" fillId="0" borderId="47" xfId="0" applyNumberFormat="1" applyFont="1" applyBorder="1"/>
    <xf numFmtId="49" fontId="21" fillId="0" borderId="47" xfId="0" applyNumberFormat="1" applyFont="1" applyBorder="1" applyAlignment="1">
      <alignment wrapText="1"/>
    </xf>
    <xf numFmtId="49" fontId="21" fillId="0" borderId="0" xfId="0" applyNumberFormat="1" applyFont="1" applyAlignment="1">
      <alignment horizontal="left" indent="1"/>
    </xf>
    <xf numFmtId="0" fontId="4" fillId="0" borderId="0" xfId="0" applyFont="1" applyAlignment="1">
      <alignment wrapText="1"/>
    </xf>
    <xf numFmtId="0" fontId="47" fillId="0" borderId="0" xfId="0" applyFont="1"/>
    <xf numFmtId="0" fontId="0" fillId="0" borderId="0" xfId="0" applyAlignment="1">
      <alignment horizontal="center"/>
    </xf>
    <xf numFmtId="0" fontId="48" fillId="0" borderId="0" xfId="0" applyFont="1"/>
    <xf numFmtId="49" fontId="21" fillId="0" borderId="47" xfId="0" applyNumberFormat="1" applyFont="1" applyBorder="1" applyAlignment="1">
      <alignment horizontal="left"/>
    </xf>
    <xf numFmtId="0" fontId="23" fillId="20" borderId="0" xfId="36" applyFont="1" applyFill="1" applyAlignment="1" applyProtection="1">
      <alignment horizontal="left"/>
    </xf>
    <xf numFmtId="0" fontId="26" fillId="20" borderId="0" xfId="36" applyFont="1" applyFill="1" applyAlignment="1" applyProtection="1">
      <alignment horizontal="left"/>
    </xf>
    <xf numFmtId="0" fontId="22" fillId="20" borderId="0" xfId="0" applyFont="1" applyFill="1" applyAlignment="1">
      <alignment horizontal="left"/>
    </xf>
    <xf numFmtId="0" fontId="21" fillId="20" borderId="0" xfId="0" applyFont="1" applyFill="1" applyAlignment="1">
      <alignment horizontal="left"/>
    </xf>
    <xf numFmtId="0" fontId="30" fillId="20" borderId="0" xfId="0" applyFont="1" applyFill="1" applyAlignment="1">
      <alignment horizontal="left"/>
    </xf>
    <xf numFmtId="14" fontId="30" fillId="20" borderId="0" xfId="0" applyNumberFormat="1" applyFont="1" applyFill="1" applyAlignment="1">
      <alignment horizontal="left"/>
    </xf>
    <xf numFmtId="0" fontId="32" fillId="20" borderId="0" xfId="0" applyFont="1" applyFill="1" applyAlignment="1">
      <alignment horizontal="left"/>
    </xf>
    <xf numFmtId="0" fontId="25" fillId="0" borderId="0" xfId="0" applyFont="1" applyAlignment="1">
      <alignment horizontal="left"/>
    </xf>
    <xf numFmtId="49" fontId="21" fillId="0" borderId="11" xfId="0" applyNumberFormat="1" applyFont="1" applyBorder="1" applyAlignment="1">
      <alignment horizontal="left"/>
    </xf>
    <xf numFmtId="49" fontId="21" fillId="0" borderId="11" xfId="0" applyNumberFormat="1" applyFont="1" applyBorder="1"/>
    <xf numFmtId="0" fontId="1" fillId="30" borderId="11" xfId="36" applyFill="1" applyBorder="1" applyAlignment="1" applyProtection="1">
      <alignment horizontal="left"/>
    </xf>
    <xf numFmtId="0" fontId="47" fillId="42" borderId="11" xfId="61" applyFont="1" applyFill="1" applyBorder="1"/>
    <xf numFmtId="0" fontId="47" fillId="42" borderId="11" xfId="61" applyFont="1" applyFill="1" applyBorder="1" applyAlignment="1">
      <alignment horizontal="center"/>
    </xf>
    <xf numFmtId="0" fontId="4" fillId="42" borderId="11" xfId="61" applyFill="1" applyBorder="1"/>
    <xf numFmtId="0" fontId="4" fillId="42" borderId="11" xfId="61" applyFill="1" applyBorder="1" applyAlignment="1">
      <alignment horizontal="center"/>
    </xf>
    <xf numFmtId="0" fontId="22" fillId="43" borderId="0" xfId="0" applyFont="1" applyFill="1"/>
    <xf numFmtId="0" fontId="22" fillId="43" borderId="0" xfId="0" applyFont="1" applyFill="1" applyAlignment="1">
      <alignment vertical="top" textRotation="180"/>
    </xf>
    <xf numFmtId="1" fontId="21" fillId="43" borderId="13" xfId="0" applyNumberFormat="1" applyFont="1" applyFill="1" applyBorder="1"/>
    <xf numFmtId="0" fontId="21" fillId="43" borderId="0" xfId="0" applyFont="1" applyFill="1"/>
    <xf numFmtId="0" fontId="30" fillId="43" borderId="0" xfId="0" applyFont="1" applyFill="1"/>
    <xf numFmtId="0" fontId="24" fillId="43" borderId="0" xfId="0" applyFont="1" applyFill="1"/>
    <xf numFmtId="0" fontId="25" fillId="43" borderId="0" xfId="0" applyFont="1" applyFill="1"/>
    <xf numFmtId="0" fontId="1" fillId="30" borderId="11" xfId="36" applyFill="1" applyBorder="1" applyAlignment="1" applyProtection="1">
      <alignment wrapText="1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4" borderId="11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7" fillId="44" borderId="11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49" fillId="43" borderId="0" xfId="0" applyNumberFormat="1" applyFont="1" applyFill="1" applyAlignment="1">
      <alignment horizontal="left" vertical="top" textRotation="180"/>
    </xf>
    <xf numFmtId="0" fontId="50" fillId="0" borderId="0" xfId="0" applyFont="1" applyAlignment="1">
      <alignment wrapText="1"/>
    </xf>
    <xf numFmtId="0" fontId="11" fillId="9" borderId="0" xfId="31" applyAlignment="1">
      <alignment horizontal="center"/>
    </xf>
    <xf numFmtId="0" fontId="17" fillId="19" borderId="0" xfId="39" applyAlignment="1">
      <alignment horizontal="center"/>
    </xf>
    <xf numFmtId="0" fontId="7" fillId="14" borderId="0" xfId="25" applyAlignment="1">
      <alignment horizontal="center"/>
    </xf>
    <xf numFmtId="0" fontId="15" fillId="13" borderId="1" xfId="37" applyAlignment="1">
      <alignment horizontal="center"/>
    </xf>
    <xf numFmtId="0" fontId="0" fillId="6" borderId="7" xfId="40" applyFont="1" applyAlignment="1">
      <alignment horizontal="center"/>
    </xf>
    <xf numFmtId="0" fontId="15" fillId="13" borderId="11" xfId="37" applyBorder="1" applyAlignment="1">
      <alignment horizontal="center"/>
    </xf>
    <xf numFmtId="0" fontId="7" fillId="14" borderId="11" xfId="25" applyBorder="1" applyAlignment="1">
      <alignment horizontal="center"/>
    </xf>
    <xf numFmtId="0" fontId="17" fillId="19" borderId="11" xfId="39" applyBorder="1" applyAlignment="1">
      <alignment horizontal="center"/>
    </xf>
    <xf numFmtId="0" fontId="11" fillId="9" borderId="11" xfId="31" applyBorder="1" applyAlignment="1">
      <alignment horizontal="center"/>
    </xf>
    <xf numFmtId="0" fontId="47" fillId="6" borderId="34" xfId="40" applyFont="1" applyBorder="1" applyAlignment="1">
      <alignment horizontal="center"/>
    </xf>
    <xf numFmtId="0" fontId="0" fillId="6" borderId="34" xfId="40" applyFont="1" applyBorder="1" applyAlignment="1">
      <alignment horizontal="center"/>
    </xf>
    <xf numFmtId="0" fontId="0" fillId="6" borderId="56" xfId="40" applyFont="1" applyBorder="1" applyAlignment="1">
      <alignment horizontal="center"/>
    </xf>
    <xf numFmtId="0" fontId="47" fillId="0" borderId="11" xfId="0" applyFont="1" applyBorder="1"/>
    <xf numFmtId="0" fontId="0" fillId="0" borderId="11" xfId="0" applyBorder="1"/>
    <xf numFmtId="0" fontId="14" fillId="13" borderId="11" xfId="37" applyFont="1" applyBorder="1" applyAlignment="1">
      <alignment horizontal="center"/>
    </xf>
    <xf numFmtId="0" fontId="51" fillId="14" borderId="11" xfId="25" applyFont="1" applyBorder="1" applyAlignment="1">
      <alignment horizontal="center"/>
    </xf>
    <xf numFmtId="0" fontId="52" fillId="19" borderId="11" xfId="39" applyFont="1" applyBorder="1" applyAlignment="1">
      <alignment horizontal="center"/>
    </xf>
    <xf numFmtId="0" fontId="53" fillId="9" borderId="11" xfId="31" applyFont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0" xfId="0" applyNumberFormat="1" applyFont="1" applyFill="1" applyBorder="1" applyAlignment="1">
      <alignment horizontal="center"/>
    </xf>
    <xf numFmtId="16" fontId="36" fillId="21" borderId="21" xfId="0" applyNumberFormat="1" applyFont="1" applyFill="1" applyBorder="1" applyAlignment="1">
      <alignment horizontal="center"/>
    </xf>
    <xf numFmtId="16" fontId="36" fillId="21" borderId="22" xfId="0" applyNumberFormat="1" applyFont="1" applyFill="1" applyBorder="1" applyAlignment="1">
      <alignment horizontal="center"/>
    </xf>
    <xf numFmtId="0" fontId="36" fillId="28" borderId="53" xfId="0" applyFont="1" applyFill="1" applyBorder="1" applyAlignment="1">
      <alignment horizontal="center"/>
    </xf>
    <xf numFmtId="0" fontId="36" fillId="28" borderId="54" xfId="0" applyFont="1" applyFill="1" applyBorder="1" applyAlignment="1">
      <alignment horizontal="center"/>
    </xf>
    <xf numFmtId="0" fontId="36" fillId="28" borderId="55" xfId="0" applyFont="1" applyFill="1" applyBorder="1" applyAlignment="1">
      <alignment horizontal="center"/>
    </xf>
    <xf numFmtId="0" fontId="2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>
      <alignment horizontal="center"/>
    </xf>
    <xf numFmtId="0" fontId="25" fillId="21" borderId="22" xfId="0" applyFont="1" applyFill="1" applyBorder="1" applyAlignment="1">
      <alignment horizontal="center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Alignment="1">
      <alignment horizontal="right"/>
    </xf>
    <xf numFmtId="0" fontId="25" fillId="0" borderId="0" xfId="0" applyFont="1"/>
    <xf numFmtId="0" fontId="28" fillId="23" borderId="0" xfId="0" applyFont="1" applyFill="1" applyAlignment="1">
      <alignment horizontal="right"/>
    </xf>
    <xf numFmtId="0" fontId="39" fillId="0" borderId="0" xfId="0" applyFont="1"/>
  </cellXfs>
  <cellStyles count="63">
    <cellStyle name="20% - Accent1 2" xfId="46" xr:uid="{00000000-0005-0000-0000-000000000000}"/>
    <cellStyle name="20% - Accent2 2" xfId="47" xr:uid="{00000000-0005-0000-0000-000001000000}"/>
    <cellStyle name="20% - Accent3 2" xfId="48" xr:uid="{00000000-0005-0000-0000-000002000000}"/>
    <cellStyle name="20% - Accent4 2" xfId="49" xr:uid="{00000000-0005-0000-0000-000003000000}"/>
    <cellStyle name="20% - Accent5 2" xfId="50" xr:uid="{00000000-0005-0000-0000-000004000000}"/>
    <cellStyle name="20% - Accent6 2" xfId="51" xr:uid="{00000000-0005-0000-0000-000005000000}"/>
    <cellStyle name="40% - Accent1 2" xfId="52" xr:uid="{00000000-0005-0000-0000-000006000000}"/>
    <cellStyle name="40% - Accent2 2" xfId="53" xr:uid="{00000000-0005-0000-0000-000007000000}"/>
    <cellStyle name="40% - Accent3 2" xfId="54" xr:uid="{00000000-0005-0000-0000-000008000000}"/>
    <cellStyle name="40% - Accent4 2" xfId="55" xr:uid="{00000000-0005-0000-0000-000009000000}"/>
    <cellStyle name="40% - Accent5 2" xfId="56" xr:uid="{00000000-0005-0000-0000-00000A000000}"/>
    <cellStyle name="40% - Accent6 2" xfId="57" xr:uid="{00000000-0005-0000-0000-00000B000000}"/>
    <cellStyle name="Accent1 - 20%" xfId="2" xr:uid="{00000000-0005-0000-0000-00000C000000}"/>
    <cellStyle name="Accent1 - 40%" xfId="3" xr:uid="{00000000-0005-0000-0000-00000D000000}"/>
    <cellStyle name="Accent1 - 60%" xfId="4" xr:uid="{00000000-0005-0000-0000-00000E000000}"/>
    <cellStyle name="Accent2 - 20%" xfId="6" xr:uid="{00000000-0005-0000-0000-00000F000000}"/>
    <cellStyle name="Accent2 - 40%" xfId="7" xr:uid="{00000000-0005-0000-0000-000010000000}"/>
    <cellStyle name="Accent2 - 60%" xfId="8" xr:uid="{00000000-0005-0000-0000-000011000000}"/>
    <cellStyle name="Accent3 - 20%" xfId="10" xr:uid="{00000000-0005-0000-0000-000012000000}"/>
    <cellStyle name="Accent3 - 40%" xfId="11" xr:uid="{00000000-0005-0000-0000-000013000000}"/>
    <cellStyle name="Accent3 - 60%" xfId="12" xr:uid="{00000000-0005-0000-0000-000014000000}"/>
    <cellStyle name="Accent4 - 20%" xfId="14" xr:uid="{00000000-0005-0000-0000-000015000000}"/>
    <cellStyle name="Accent4 - 40%" xfId="15" xr:uid="{00000000-0005-0000-0000-000016000000}"/>
    <cellStyle name="Accent4 - 60%" xfId="16" xr:uid="{00000000-0005-0000-0000-000017000000}"/>
    <cellStyle name="Accent5 - 20%" xfId="18" xr:uid="{00000000-0005-0000-0000-000018000000}"/>
    <cellStyle name="Accent5 - 40%" xfId="19" xr:uid="{00000000-0005-0000-0000-000019000000}"/>
    <cellStyle name="Accent5 - 60%" xfId="20" xr:uid="{00000000-0005-0000-0000-00001A000000}"/>
    <cellStyle name="Accent6 - 20%" xfId="22" xr:uid="{00000000-0005-0000-0000-00001B000000}"/>
    <cellStyle name="Accent6 - 40%" xfId="23" xr:uid="{00000000-0005-0000-0000-00001C000000}"/>
    <cellStyle name="Accent6 - 60%" xfId="24" xr:uid="{00000000-0005-0000-0000-00001D000000}"/>
    <cellStyle name="Akzent1" xfId="1" builtinId="29" customBuiltin="1"/>
    <cellStyle name="Akzent2" xfId="5" builtinId="33" customBuiltin="1"/>
    <cellStyle name="Akzent3" xfId="9" builtinId="37" customBuiltin="1"/>
    <cellStyle name="Akzent4" xfId="13" builtinId="41" customBuiltin="1"/>
    <cellStyle name="Akzent5" xfId="17" builtinId="45" customBuiltin="1"/>
    <cellStyle name="Akzent6" xfId="21" builtinId="49" customBuiltin="1"/>
    <cellStyle name="Ausgabe" xfId="41" builtinId="21" customBuiltin="1"/>
    <cellStyle name="Berechnung" xfId="26" builtinId="22" customBuiltin="1"/>
    <cellStyle name="Eingabe" xfId="37" builtinId="20" customBuiltin="1"/>
    <cellStyle name="Emphasis 1" xfId="28" xr:uid="{00000000-0005-0000-0000-000027000000}"/>
    <cellStyle name="Emphasis 2" xfId="29" xr:uid="{00000000-0005-0000-0000-000028000000}"/>
    <cellStyle name="Emphasis 3" xfId="30" xr:uid="{00000000-0005-0000-0000-000029000000}"/>
    <cellStyle name="Ergebnis" xfId="43" builtinId="25" customBuiltin="1"/>
    <cellStyle name="Gut" xfId="31" builtinId="26" customBuiltin="1"/>
    <cellStyle name="Link" xfId="36" builtinId="8"/>
    <cellStyle name="Neutral" xfId="39" builtinId="28" customBuiltin="1"/>
    <cellStyle name="Normal 2" xfId="45" xr:uid="{00000000-0005-0000-0000-00002E000000}"/>
    <cellStyle name="Note 2" xfId="58" xr:uid="{00000000-0005-0000-0000-00002F000000}"/>
    <cellStyle name="Notiz" xfId="40" builtinId="10" customBuiltin="1"/>
    <cellStyle name="Prozent 2" xfId="62" xr:uid="{00000000-0005-0000-0000-000031000000}"/>
    <cellStyle name="Schlecht" xfId="25" builtinId="27" customBuiltin="1"/>
    <cellStyle name="Sheet Title" xfId="42" xr:uid="{00000000-0005-0000-0000-000033000000}"/>
    <cellStyle name="Standard" xfId="0" builtinId="0"/>
    <cellStyle name="Standard 2 2" xfId="59" xr:uid="{00000000-0005-0000-0000-000035000000}"/>
    <cellStyle name="Standard 2 2 2" xfId="61" xr:uid="{00000000-0005-0000-0000-000036000000}"/>
    <cellStyle name="Table Header" xfId="60" xr:uid="{00000000-0005-0000-0000-000037000000}"/>
    <cellStyle name="Überschrift 1" xfId="32" builtinId="16" customBuiltin="1"/>
    <cellStyle name="Überschrift 2" xfId="33" builtinId="17" customBuiltin="1"/>
    <cellStyle name="Überschrift 3" xfId="34" builtinId="18" customBuiltin="1"/>
    <cellStyle name="Überschrift 4" xfId="35" builtinId="19" customBuiltin="1"/>
    <cellStyle name="Verknüpfte Zelle" xfId="38" builtinId="24" customBuiltin="1"/>
    <cellStyle name="Warnender Text" xfId="44" builtinId="11" customBuiltin="1"/>
    <cellStyle name="Zelle überprüfen" xfId="27" builtinId="23" customBuiltin="1"/>
  </cellStyles>
  <dxfs count="95"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944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9"/>
          <c:y val="0.24528341504481754"/>
          <c:w val="0.58462818951754747"/>
          <c:h val="0.44151024747612855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0-4A9D-B34A-6E0E28539BE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0-4A9D-B34A-6E0E28539BE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50-4A9D-B34A-6E0E28539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3136"/>
        <c:axId val="103885440"/>
      </c:areaChart>
      <c:catAx>
        <c:axId val="10388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3939"/>
              <c:y val="0.8605769230769225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de-DE"/>
          </a:p>
        </c:txPr>
        <c:crossAx val="10388544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38854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3883136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444"/>
          <c:h val="0.46747090575943256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988" l="0.70000000000000062" r="0.70000000000000062" t="0.75000000000000988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7399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2A-430B-B0BA-EE62606C70DE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2A-430B-B0BA-EE62606C70DE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2A-430B-B0BA-EE62606C7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24928"/>
        <c:axId val="1057352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2A-430B-B0BA-EE62606C70DE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2A-430B-B0BA-EE62606C7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24928"/>
        <c:axId val="105735296"/>
      </c:lineChart>
      <c:catAx>
        <c:axId val="10572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6672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de-DE"/>
          </a:p>
        </c:txPr>
        <c:crossAx val="1057352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57352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96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0572492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63"/>
          <c:y val="0.16635131134923922"/>
          <c:w val="0.13741881036241249"/>
          <c:h val="0.5792177293627764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988" l="0.70000000000000062" r="0.70000000000000062" t="0.75000000000000988" header="0.30000000000000032" footer="0.30000000000000032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1174750</xdr:colOff>
          <xdr:row>1</xdr:row>
          <xdr:rowOff>12700</xdr:rowOff>
        </xdr:from>
        <xdr:to>
          <xdr:col>2</xdr:col>
          <xdr:colOff>2413000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1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12700</xdr:rowOff>
        </xdr:from>
        <xdr:to>
          <xdr:col>2</xdr:col>
          <xdr:colOff>1098550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1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2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2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Temp\WP-Plan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Sheet"/>
      <sheetName val="Work Product Plan"/>
      <sheetName val="Definitions"/>
      <sheetName val="Template history"/>
      <sheetName val="Autofunctions"/>
      <sheetName val="Tasks"/>
    </sheetNames>
    <sheetDataSet>
      <sheetData sheetId="0" refreshError="1"/>
      <sheetData sheetId="1">
        <row r="309">
          <cell r="AQ309" t="str">
            <v>Configuration Area</v>
          </cell>
        </row>
        <row r="310">
          <cell r="AQ310" t="str">
            <v>Release Configuration</v>
          </cell>
        </row>
        <row r="311">
          <cell r="AQ311" t="str">
            <v>Complete Configuration</v>
          </cell>
        </row>
        <row r="314">
          <cell r="AQ314" t="str">
            <v>Define Distribution</v>
          </cell>
        </row>
        <row r="315">
          <cell r="AQ315" t="str">
            <v>Implement Distribution</v>
          </cell>
        </row>
        <row r="316">
          <cell r="AQ316" t="str">
            <v>Distributed</v>
          </cell>
        </row>
      </sheetData>
      <sheetData sheetId="2" refreshError="1"/>
      <sheetData sheetId="3" refreshError="1"/>
      <sheetData sheetId="4">
        <row r="2">
          <cell r="A2" t="str">
            <v>R</v>
          </cell>
          <cell r="B2" t="str">
            <v>x</v>
          </cell>
          <cell r="C2" t="str">
            <v>P</v>
          </cell>
          <cell r="D2" t="str">
            <v>R</v>
          </cell>
        </row>
        <row r="3">
          <cell r="A3" t="str">
            <v>I</v>
          </cell>
          <cell r="C3" t="str">
            <v>PD</v>
          </cell>
          <cell r="D3" t="str">
            <v>A</v>
          </cell>
        </row>
        <row r="4">
          <cell r="A4" t="str">
            <v>D</v>
          </cell>
          <cell r="C4" t="str">
            <v>R</v>
          </cell>
          <cell r="D4" t="str">
            <v>C</v>
          </cell>
        </row>
        <row r="5">
          <cell r="C5" t="str">
            <v>RQ</v>
          </cell>
          <cell r="D5" t="str">
            <v>I</v>
          </cell>
        </row>
        <row r="6">
          <cell r="C6" t="str">
            <v>S</v>
          </cell>
        </row>
        <row r="7">
          <cell r="C7" t="str">
            <v>T</v>
          </cell>
        </row>
        <row r="8">
          <cell r="C8" t="str">
            <v>W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kobde-mks.kobde.trw.com:7001/si/viewrevision?projectName=/PSE/AECU/Management%5fPSE%5fEurope/LOP/2016/project.pj&amp;selection=List%20of%20Open%20Points%5f2016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4:G15"/>
  <sheetViews>
    <sheetView zoomScale="160" zoomScaleNormal="160" workbookViewId="0">
      <selection activeCell="D22" sqref="D22"/>
    </sheetView>
  </sheetViews>
  <sheetFormatPr baseColWidth="10" defaultColWidth="9.1796875" defaultRowHeight="12.5" x14ac:dyDescent="0.25"/>
  <cols>
    <col min="6" max="6" width="84.7265625" customWidth="1"/>
  </cols>
  <sheetData>
    <row r="14" spans="1:7" x14ac:dyDescent="0.25">
      <c r="F14" s="168" t="s">
        <v>140</v>
      </c>
    </row>
    <row r="15" spans="1:7" ht="46" x14ac:dyDescent="0.55000000000000004">
      <c r="A15" s="176"/>
      <c r="F15" s="211" t="s">
        <v>138</v>
      </c>
      <c r="G15" s="168" t="s">
        <v>139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EB61"/>
  <sheetViews>
    <sheetView tabSelected="1" zoomScaleNormal="100" workbookViewId="0">
      <pane xSplit="10" ySplit="1" topLeftCell="K2" activePane="bottomRight" state="frozen"/>
      <selection pane="topRight" activeCell="H1" sqref="H1"/>
      <selection pane="bottomLeft" activeCell="A2" sqref="A2"/>
      <selection pane="bottomRight" activeCell="D8" sqref="D8"/>
    </sheetView>
  </sheetViews>
  <sheetFormatPr baseColWidth="10" defaultColWidth="9.1796875" defaultRowHeight="12.5" outlineLevelCol="1" x14ac:dyDescent="0.25"/>
  <cols>
    <col min="1" max="1" width="4.54296875" style="6" customWidth="1"/>
    <col min="2" max="2" width="6" style="6" customWidth="1"/>
    <col min="3" max="3" width="79.54296875" style="185" customWidth="1"/>
    <col min="4" max="4" width="56.453125" style="6" customWidth="1"/>
    <col min="5" max="5" width="10.453125" style="6" bestFit="1" customWidth="1"/>
    <col min="6" max="6" width="9" style="6" bestFit="1" customWidth="1"/>
    <col min="7" max="7" width="7" style="6" customWidth="1"/>
    <col min="8" max="8" width="4.26953125" style="6" customWidth="1"/>
    <col min="9" max="9" width="5.26953125" style="6" bestFit="1" customWidth="1"/>
    <col min="10" max="10" width="4.26953125" style="199" customWidth="1"/>
    <col min="11" max="12" width="3.26953125" style="144" customWidth="1"/>
    <col min="13" max="13" width="2.453125" style="6" customWidth="1"/>
    <col min="14" max="15" width="3.26953125" style="6" customWidth="1"/>
    <col min="16" max="16" width="2.453125" style="6" customWidth="1"/>
    <col min="17" max="18" width="3.26953125" style="6" customWidth="1"/>
    <col min="19" max="19" width="2.453125" style="6" customWidth="1"/>
    <col min="20" max="21" width="3.26953125" style="6" customWidth="1"/>
    <col min="22" max="22" width="2.453125" style="6" customWidth="1"/>
    <col min="23" max="24" width="3.26953125" style="6" customWidth="1"/>
    <col min="25" max="25" width="2.453125" style="6" customWidth="1"/>
    <col min="26" max="27" width="3.26953125" style="6" customWidth="1"/>
    <col min="28" max="28" width="2.453125" style="6" customWidth="1"/>
    <col min="29" max="30" width="3.26953125" style="6" customWidth="1"/>
    <col min="31" max="31" width="2.453125" style="6" customWidth="1"/>
    <col min="32" max="33" width="3.26953125" style="6" customWidth="1"/>
    <col min="34" max="34" width="2.453125" style="6" customWidth="1"/>
    <col min="35" max="36" width="3.26953125" style="6" customWidth="1"/>
    <col min="37" max="37" width="2.453125" style="6" customWidth="1"/>
    <col min="38" max="39" width="3.26953125" style="6" customWidth="1"/>
    <col min="40" max="40" width="2.453125" style="6" customWidth="1"/>
    <col min="41" max="42" width="3.26953125" style="6" customWidth="1"/>
    <col min="43" max="43" width="2.453125" style="6" customWidth="1"/>
    <col min="44" max="45" width="3.26953125" style="6" customWidth="1"/>
    <col min="46" max="46" width="2.453125" style="6" customWidth="1"/>
    <col min="47" max="48" width="3.26953125" style="6" customWidth="1"/>
    <col min="49" max="49" width="2.453125" style="6" customWidth="1"/>
    <col min="50" max="51" width="3.26953125" style="6" customWidth="1"/>
    <col min="52" max="52" width="2.453125" style="6" customWidth="1"/>
    <col min="53" max="54" width="3.26953125" style="6" customWidth="1"/>
    <col min="55" max="55" width="2.453125" style="6" customWidth="1"/>
    <col min="56" max="57" width="3.26953125" style="6" customWidth="1"/>
    <col min="58" max="58" width="2.453125" style="6" customWidth="1"/>
    <col min="59" max="60" width="3.26953125" style="6" customWidth="1"/>
    <col min="61" max="61" width="2.453125" style="6" customWidth="1"/>
    <col min="62" max="63" width="3.26953125" style="6" customWidth="1"/>
    <col min="64" max="64" width="2.453125" style="6" customWidth="1"/>
    <col min="65" max="66" width="3.26953125" style="6" customWidth="1"/>
    <col min="67" max="67" width="2.453125" style="6" customWidth="1"/>
    <col min="68" max="69" width="3.26953125" style="6" customWidth="1"/>
    <col min="70" max="70" width="2.453125" style="6" customWidth="1"/>
    <col min="71" max="72" width="3.26953125" style="6" customWidth="1"/>
    <col min="73" max="73" width="2.453125" style="6" customWidth="1"/>
    <col min="74" max="75" width="3.26953125" style="6" customWidth="1"/>
    <col min="76" max="76" width="2.453125" style="6" customWidth="1"/>
    <col min="77" max="78" width="3.26953125" style="6" customWidth="1"/>
    <col min="79" max="79" width="2.453125" style="6" customWidth="1"/>
    <col min="80" max="81" width="3.26953125" style="6" customWidth="1"/>
    <col min="82" max="82" width="2.453125" style="6" customWidth="1"/>
    <col min="83" max="84" width="3.26953125" style="6" customWidth="1"/>
    <col min="85" max="85" width="2.453125" style="6" customWidth="1"/>
    <col min="86" max="87" width="3.26953125" style="6" customWidth="1"/>
    <col min="88" max="88" width="2.453125" style="6" customWidth="1"/>
    <col min="89" max="90" width="3.26953125" style="6" customWidth="1"/>
    <col min="91" max="91" width="2.453125" style="6" customWidth="1"/>
    <col min="92" max="93" width="3.26953125" style="6" customWidth="1"/>
    <col min="94" max="94" width="2.453125" style="6" customWidth="1"/>
    <col min="95" max="96" width="3.26953125" style="6" customWidth="1"/>
    <col min="97" max="97" width="2.453125" style="6" customWidth="1"/>
    <col min="98" max="99" width="3.26953125" style="6" customWidth="1"/>
    <col min="100" max="100" width="2.453125" style="6" customWidth="1"/>
    <col min="101" max="102" width="3.26953125" style="6" hidden="1" customWidth="1" outlineLevel="1"/>
    <col min="103" max="103" width="2.453125" style="6" hidden="1" customWidth="1" outlineLevel="1"/>
    <col min="104" max="105" width="3.26953125" style="6" hidden="1" customWidth="1" outlineLevel="1"/>
    <col min="106" max="106" width="2.453125" style="6" hidden="1" customWidth="1" outlineLevel="1"/>
    <col min="107" max="108" width="3.26953125" style="6" hidden="1" customWidth="1" outlineLevel="1"/>
    <col min="109" max="109" width="2.453125" style="6" hidden="1" customWidth="1" outlineLevel="1"/>
    <col min="110" max="111" width="3.26953125" style="6" hidden="1" customWidth="1" outlineLevel="1"/>
    <col min="112" max="112" width="2.453125" style="6" hidden="1" customWidth="1" outlineLevel="1"/>
    <col min="113" max="114" width="3.26953125" style="6" hidden="1" customWidth="1" outlineLevel="1"/>
    <col min="115" max="115" width="2.453125" style="6" hidden="1" customWidth="1" outlineLevel="1"/>
    <col min="116" max="117" width="3.26953125" style="6" hidden="1" customWidth="1" outlineLevel="1"/>
    <col min="118" max="118" width="2.453125" style="6" hidden="1" customWidth="1" outlineLevel="1"/>
    <col min="119" max="120" width="3.26953125" style="6" hidden="1" customWidth="1" outlineLevel="1"/>
    <col min="121" max="121" width="2.453125" style="6" hidden="1" customWidth="1" outlineLevel="1"/>
    <col min="122" max="123" width="3.26953125" style="6" hidden="1" customWidth="1" outlineLevel="1"/>
    <col min="124" max="124" width="2.453125" style="6" hidden="1" customWidth="1" outlineLevel="1"/>
    <col min="125" max="126" width="3.26953125" style="6" hidden="1" customWidth="1" outlineLevel="1"/>
    <col min="127" max="127" width="2.453125" style="6" hidden="1" customWidth="1" outlineLevel="1"/>
    <col min="128" max="129" width="3.26953125" style="6" hidden="1" customWidth="1" outlineLevel="1"/>
    <col min="130" max="130" width="2.453125" style="6" hidden="1" customWidth="1" outlineLevel="1"/>
    <col min="131" max="131" width="2.453125" style="6" customWidth="1" collapsed="1"/>
    <col min="132" max="132" width="6.54296875" style="6" customWidth="1"/>
    <col min="133" max="16384" width="9.1796875" style="6"/>
  </cols>
  <sheetData>
    <row r="1" spans="1:132" x14ac:dyDescent="0.25">
      <c r="A1" s="165"/>
      <c r="B1" s="1"/>
      <c r="C1" s="178"/>
      <c r="D1" s="2"/>
      <c r="E1" s="2"/>
      <c r="F1" s="3" t="s">
        <v>23</v>
      </c>
      <c r="G1" s="4">
        <v>38901</v>
      </c>
      <c r="H1" s="1"/>
      <c r="I1" s="1"/>
      <c r="J1" s="193"/>
      <c r="K1" s="242">
        <f>SprintStart</f>
        <v>45763</v>
      </c>
      <c r="L1" s="242"/>
      <c r="M1" s="242"/>
      <c r="N1" s="242">
        <f>IF(AND(SkipWeekends, WEEKDAY(K1)=6),K1+3, K1+1)</f>
        <v>45764</v>
      </c>
      <c r="O1" s="242"/>
      <c r="P1" s="242"/>
      <c r="Q1" s="242">
        <f>IF(AND(SkipWeekends, WEEKDAY(N1)=6),N1+3, N1+1)</f>
        <v>45765</v>
      </c>
      <c r="R1" s="242"/>
      <c r="S1" s="242"/>
      <c r="T1" s="242">
        <f>IF(AND(SkipWeekends, WEEKDAY(Q1)=6),Q1+3, Q1+1)</f>
        <v>45766</v>
      </c>
      <c r="U1" s="242"/>
      <c r="V1" s="242"/>
      <c r="W1" s="242">
        <f>IF(AND(SkipWeekends, WEEKDAY(T1)=6),T1+3, T1+1)</f>
        <v>45767</v>
      </c>
      <c r="X1" s="242"/>
      <c r="Y1" s="242"/>
      <c r="Z1" s="242">
        <f>IF(AND(SkipWeekends, WEEKDAY(W1)=6),W1+3, W1+1)</f>
        <v>45768</v>
      </c>
      <c r="AA1" s="242"/>
      <c r="AB1" s="242"/>
      <c r="AC1" s="242">
        <f>IF(AND(SkipWeekends, WEEKDAY(Z1)=6),Z1+3, Z1+1)</f>
        <v>45769</v>
      </c>
      <c r="AD1" s="242"/>
      <c r="AE1" s="242"/>
      <c r="AF1" s="242">
        <f>IF(AND(SkipWeekends, WEEKDAY(AC1)=6),AC1+3, AC1+1)</f>
        <v>45770</v>
      </c>
      <c r="AG1" s="242"/>
      <c r="AH1" s="242"/>
      <c r="AI1" s="242">
        <f>IF(AND(SkipWeekends, WEEKDAY(AF1)=6),AF1+3, AF1+1)</f>
        <v>45771</v>
      </c>
      <c r="AJ1" s="242"/>
      <c r="AK1" s="242"/>
      <c r="AL1" s="242">
        <f>IF(AND(SkipWeekends, WEEKDAY(AI1)=6),AI1+3, AI1+1)</f>
        <v>45772</v>
      </c>
      <c r="AM1" s="242"/>
      <c r="AN1" s="242"/>
      <c r="AO1" s="242">
        <f>IF(AND(SkipWeekends, WEEKDAY(AL1)=6),AL1+3, AL1+1)</f>
        <v>45773</v>
      </c>
      <c r="AP1" s="242"/>
      <c r="AQ1" s="242"/>
      <c r="AR1" s="242">
        <f>IF(AND(SkipWeekends, WEEKDAY(AO1)=6),AO1+3, AO1+1)</f>
        <v>45774</v>
      </c>
      <c r="AS1" s="242"/>
      <c r="AT1" s="242"/>
      <c r="AU1" s="242">
        <f>IF(AND(SkipWeekends, WEEKDAY(AR1)=6),AR1+3, AR1+1)</f>
        <v>45775</v>
      </c>
      <c r="AV1" s="242"/>
      <c r="AW1" s="242"/>
      <c r="AX1" s="242">
        <f>IF(AND(SkipWeekends, WEEKDAY(AU1)=6),AU1+3, AU1+1)</f>
        <v>45776</v>
      </c>
      <c r="AY1" s="242"/>
      <c r="AZ1" s="242"/>
      <c r="BA1" s="242">
        <f>IF(AND(SkipWeekends, WEEKDAY(AX1)=6),AX1+3, AX1+1)</f>
        <v>45777</v>
      </c>
      <c r="BB1" s="242"/>
      <c r="BC1" s="242"/>
      <c r="BD1" s="242">
        <f>IF(AND(SkipWeekends, WEEKDAY(BA1)=6),BA1+3, BA1+1)</f>
        <v>45778</v>
      </c>
      <c r="BE1" s="242"/>
      <c r="BF1" s="242"/>
      <c r="BG1" s="242">
        <f>IF(AND(SkipWeekends, WEEKDAY(BD1)=6),BD1+3, BD1+1)</f>
        <v>45779</v>
      </c>
      <c r="BH1" s="242"/>
      <c r="BI1" s="242"/>
      <c r="BJ1" s="242">
        <f>IF(AND(SkipWeekends, WEEKDAY(BG1)=6),BG1+3, BG1+1)</f>
        <v>45780</v>
      </c>
      <c r="BK1" s="242"/>
      <c r="BL1" s="242"/>
      <c r="BM1" s="242">
        <f>IF(AND(SkipWeekends, WEEKDAY(BJ1)=6),BJ1+3, BJ1+1)</f>
        <v>45781</v>
      </c>
      <c r="BN1" s="242"/>
      <c r="BO1" s="242"/>
      <c r="BP1" s="242">
        <f>IF(AND(SkipWeekends, WEEKDAY(BM1)=6),BM1+3, BM1+1)</f>
        <v>45782</v>
      </c>
      <c r="BQ1" s="242"/>
      <c r="BR1" s="242"/>
      <c r="BS1" s="242">
        <f>IF(AND(SkipWeekends, WEEKDAY(BP1)=6),BP1+3, BP1+1)</f>
        <v>45783</v>
      </c>
      <c r="BT1" s="242"/>
      <c r="BU1" s="242"/>
      <c r="BV1" s="242">
        <f>IF(AND(SkipWeekends, WEEKDAY(BS1)=6),BS1+3, BS1+1)</f>
        <v>45784</v>
      </c>
      <c r="BW1" s="242"/>
      <c r="BX1" s="242"/>
      <c r="BY1" s="242">
        <f>IF(AND(SkipWeekends, WEEKDAY(BV1)=6),BV1+3, BV1+1)</f>
        <v>45785</v>
      </c>
      <c r="BZ1" s="242"/>
      <c r="CA1" s="242"/>
      <c r="CB1" s="242">
        <f>IF(AND(SkipWeekends, WEEKDAY(BY1)=6),BY1+3, BY1+1)</f>
        <v>45786</v>
      </c>
      <c r="CC1" s="242"/>
      <c r="CD1" s="242"/>
      <c r="CE1" s="242">
        <f>IF(AND(SkipWeekends, WEEKDAY(CB1)=6),CB1+3, CB1+1)</f>
        <v>45787</v>
      </c>
      <c r="CF1" s="242"/>
      <c r="CG1" s="242"/>
      <c r="CH1" s="242">
        <f>IF(AND(SkipWeekends, WEEKDAY(CE1)=6),CE1+3, CE1+1)</f>
        <v>45788</v>
      </c>
      <c r="CI1" s="242"/>
      <c r="CJ1" s="242"/>
      <c r="CK1" s="242">
        <f>IF(AND(SkipWeekends, WEEKDAY(CH1)=6),CH1+3, CH1+1)</f>
        <v>45789</v>
      </c>
      <c r="CL1" s="242"/>
      <c r="CM1" s="242"/>
      <c r="CN1" s="242">
        <f>IF(AND(SkipWeekends, WEEKDAY(CK1)=6),CK1+3, CK1+1)</f>
        <v>45790</v>
      </c>
      <c r="CO1" s="242"/>
      <c r="CP1" s="242"/>
      <c r="CQ1" s="242">
        <f>IF(AND(SkipWeekends, WEEKDAY(CN1)=6),CN1+3, CN1+1)</f>
        <v>45791</v>
      </c>
      <c r="CR1" s="242"/>
      <c r="CS1" s="242"/>
      <c r="CT1" s="242">
        <f>IF(AND(SkipWeekends, WEEKDAY(CQ1)=6),CQ1+3, CQ1+1)</f>
        <v>45792</v>
      </c>
      <c r="CU1" s="242"/>
      <c r="CV1" s="242"/>
      <c r="CW1" s="242">
        <f>IF(AND(SkipWeekends, WEEKDAY(CT1)=6),CT1+3, CT1+1)</f>
        <v>45793</v>
      </c>
      <c r="CX1" s="242"/>
      <c r="CY1" s="242"/>
      <c r="CZ1" s="242">
        <f>IF(AND(SkipWeekends, WEEKDAY(CW1)=6),CW1+3, CW1+1)</f>
        <v>45794</v>
      </c>
      <c r="DA1" s="242"/>
      <c r="DB1" s="242"/>
      <c r="DC1" s="242">
        <f>IF(AND(SkipWeekends, WEEKDAY(CZ1)=6),CZ1+3, CZ1+1)</f>
        <v>45795</v>
      </c>
      <c r="DD1" s="242"/>
      <c r="DE1" s="242"/>
      <c r="DF1" s="242">
        <f>IF(AND(SkipWeekends, WEEKDAY(DC1)=6),DC1+3, DC1+1)</f>
        <v>45796</v>
      </c>
      <c r="DG1" s="242"/>
      <c r="DH1" s="242"/>
      <c r="DI1" s="242">
        <f>IF(AND(SkipWeekends, WEEKDAY(DF1)=6),DF1+3, DF1+1)</f>
        <v>45797</v>
      </c>
      <c r="DJ1" s="242"/>
      <c r="DK1" s="242"/>
      <c r="DL1" s="242">
        <f>IF(AND(SkipWeekends, WEEKDAY(DI1)=6),DI1+3, DI1+1)</f>
        <v>45798</v>
      </c>
      <c r="DM1" s="242"/>
      <c r="DN1" s="242"/>
      <c r="DO1" s="242">
        <f>IF(AND(SkipWeekends, WEEKDAY(DL1)=6),DL1+3, DL1+1)</f>
        <v>45799</v>
      </c>
      <c r="DP1" s="242"/>
      <c r="DQ1" s="242"/>
      <c r="DR1" s="242">
        <f>IF(AND(SkipWeekends, WEEKDAY(DO1)=6),DO1+3, DO1+1)</f>
        <v>45800</v>
      </c>
      <c r="DS1" s="242"/>
      <c r="DT1" s="242"/>
      <c r="DU1" s="242">
        <f>IF(AND(SkipWeekends, WEEKDAY(DR1)=6),DR1+3, DR1+1)</f>
        <v>45801</v>
      </c>
      <c r="DV1" s="242"/>
      <c r="DW1" s="242"/>
      <c r="DX1" s="242">
        <f>IF(AND(SkipWeekends, WEEKDAY(DU1)=6),DU1+3, DU1+1)</f>
        <v>45802</v>
      </c>
      <c r="DY1" s="242"/>
      <c r="DZ1" s="242"/>
      <c r="EA1" s="5"/>
      <c r="EB1" s="1"/>
    </row>
    <row r="2" spans="1:132" x14ac:dyDescent="0.25">
      <c r="A2" s="165"/>
      <c r="B2" s="1"/>
      <c r="C2" s="179"/>
      <c r="D2" s="7"/>
      <c r="E2" s="7"/>
      <c r="F2" s="8"/>
      <c r="G2" s="9"/>
      <c r="H2" s="1"/>
      <c r="I2" s="1"/>
      <c r="J2" s="193"/>
      <c r="K2" s="140"/>
      <c r="L2" s="140" t="s">
        <v>61</v>
      </c>
      <c r="M2" s="10"/>
      <c r="N2" s="10"/>
      <c r="O2" s="10" t="s">
        <v>62</v>
      </c>
      <c r="P2" s="10"/>
      <c r="Q2" s="10"/>
      <c r="R2" s="10" t="s">
        <v>63</v>
      </c>
      <c r="S2" s="10"/>
      <c r="T2" s="10"/>
      <c r="U2" s="10" t="s">
        <v>64</v>
      </c>
      <c r="V2" s="10"/>
      <c r="W2" s="10"/>
      <c r="X2" s="10" t="s">
        <v>65</v>
      </c>
      <c r="Y2" s="10"/>
      <c r="Z2" s="10"/>
      <c r="AA2" s="10" t="s">
        <v>66</v>
      </c>
      <c r="AB2" s="10"/>
      <c r="AC2" s="10"/>
      <c r="AD2" s="10" t="s">
        <v>67</v>
      </c>
      <c r="AE2" s="10"/>
      <c r="AF2" s="10"/>
      <c r="AG2" s="10" t="s">
        <v>68</v>
      </c>
      <c r="AH2" s="10"/>
      <c r="AI2" s="10"/>
      <c r="AJ2" s="10" t="s">
        <v>69</v>
      </c>
      <c r="AK2" s="10"/>
      <c r="AL2" s="10"/>
      <c r="AM2" s="10" t="s">
        <v>70</v>
      </c>
      <c r="AN2" s="10"/>
      <c r="AO2" s="10"/>
      <c r="AP2" s="10" t="s">
        <v>71</v>
      </c>
      <c r="AQ2" s="10"/>
      <c r="AR2" s="10"/>
      <c r="AS2" s="10" t="s">
        <v>72</v>
      </c>
      <c r="AT2" s="10"/>
      <c r="AU2" s="10"/>
      <c r="AV2" s="10" t="s">
        <v>73</v>
      </c>
      <c r="AW2" s="10"/>
      <c r="AX2" s="10"/>
      <c r="AY2" s="10" t="s">
        <v>74</v>
      </c>
      <c r="AZ2" s="10"/>
      <c r="BA2" s="10"/>
      <c r="BB2" s="10" t="s">
        <v>75</v>
      </c>
      <c r="BC2" s="10"/>
      <c r="BD2" s="10"/>
      <c r="BE2" s="10" t="s">
        <v>76</v>
      </c>
      <c r="BF2" s="10"/>
      <c r="BG2" s="10"/>
      <c r="BH2" s="10" t="s">
        <v>77</v>
      </c>
      <c r="BI2" s="10"/>
      <c r="BJ2" s="10"/>
      <c r="BK2" s="10" t="s">
        <v>78</v>
      </c>
      <c r="BL2" s="10"/>
      <c r="BM2" s="10"/>
      <c r="BN2" s="10" t="s">
        <v>79</v>
      </c>
      <c r="BO2" s="10"/>
      <c r="BP2" s="10"/>
      <c r="BQ2" s="10" t="s">
        <v>80</v>
      </c>
      <c r="BR2" s="10"/>
      <c r="BS2" s="10"/>
      <c r="BT2" s="10" t="s">
        <v>81</v>
      </c>
      <c r="BU2" s="10"/>
      <c r="BV2" s="10"/>
      <c r="BW2" s="10" t="s">
        <v>82</v>
      </c>
      <c r="BX2" s="10"/>
      <c r="BY2" s="10"/>
      <c r="BZ2" s="10" t="s">
        <v>83</v>
      </c>
      <c r="CA2" s="10"/>
      <c r="CB2" s="10"/>
      <c r="CC2" s="10" t="s">
        <v>84</v>
      </c>
      <c r="CD2" s="10"/>
      <c r="CE2" s="10"/>
      <c r="CF2" s="10" t="s">
        <v>85</v>
      </c>
      <c r="CG2" s="10"/>
      <c r="CH2" s="10"/>
      <c r="CI2" s="10" t="s">
        <v>86</v>
      </c>
      <c r="CJ2" s="10"/>
      <c r="CK2" s="10"/>
      <c r="CL2" s="10" t="s">
        <v>87</v>
      </c>
      <c r="CM2" s="10"/>
      <c r="CN2" s="10"/>
      <c r="CO2" s="10" t="s">
        <v>88</v>
      </c>
      <c r="CP2" s="10"/>
      <c r="CQ2" s="10"/>
      <c r="CR2" s="10" t="s">
        <v>89</v>
      </c>
      <c r="CS2" s="10"/>
      <c r="CT2" s="10"/>
      <c r="CU2" s="10" t="s">
        <v>90</v>
      </c>
      <c r="CV2" s="10"/>
      <c r="CW2" s="10"/>
      <c r="CX2" s="10" t="s">
        <v>91</v>
      </c>
      <c r="CY2" s="10"/>
      <c r="CZ2" s="10"/>
      <c r="DA2" s="10" t="s">
        <v>92</v>
      </c>
      <c r="DB2" s="10"/>
      <c r="DC2" s="10"/>
      <c r="DD2" s="10" t="s">
        <v>93</v>
      </c>
      <c r="DE2" s="10"/>
      <c r="DF2" s="10"/>
      <c r="DG2" s="10" t="s">
        <v>94</v>
      </c>
      <c r="DH2" s="10"/>
      <c r="DI2" s="10"/>
      <c r="DJ2" s="10" t="s">
        <v>95</v>
      </c>
      <c r="DK2" s="10"/>
      <c r="DL2" s="10"/>
      <c r="DM2" s="10" t="s">
        <v>96</v>
      </c>
      <c r="DN2" s="10"/>
      <c r="DO2" s="10"/>
      <c r="DP2" s="10" t="s">
        <v>97</v>
      </c>
      <c r="DQ2" s="10"/>
      <c r="DR2" s="10"/>
      <c r="DS2" s="10" t="s">
        <v>98</v>
      </c>
      <c r="DT2" s="10"/>
      <c r="DU2" s="10"/>
      <c r="DV2" s="10" t="s">
        <v>99</v>
      </c>
      <c r="DW2" s="10"/>
      <c r="DX2" s="10"/>
      <c r="DY2" s="10" t="s">
        <v>100</v>
      </c>
      <c r="DZ2" s="10"/>
      <c r="EA2" s="5"/>
      <c r="EB2" s="1"/>
    </row>
    <row r="3" spans="1:132" ht="38.25" customHeight="1" x14ac:dyDescent="0.25">
      <c r="A3" s="166" t="s">
        <v>110</v>
      </c>
      <c r="B3" s="11" t="s">
        <v>101</v>
      </c>
      <c r="C3" s="180" t="s">
        <v>102</v>
      </c>
      <c r="D3" s="1" t="s">
        <v>114</v>
      </c>
      <c r="E3" s="1" t="s">
        <v>115</v>
      </c>
      <c r="F3" s="1" t="s">
        <v>0</v>
      </c>
      <c r="G3" s="1" t="s">
        <v>1</v>
      </c>
      <c r="H3" s="12" t="s">
        <v>103</v>
      </c>
      <c r="I3" s="12" t="s">
        <v>113</v>
      </c>
      <c r="J3" s="194" t="s">
        <v>119</v>
      </c>
      <c r="K3" s="210" t="s">
        <v>12</v>
      </c>
      <c r="L3" s="141" t="s">
        <v>2</v>
      </c>
      <c r="M3" s="14"/>
      <c r="N3" s="210" t="s">
        <v>12</v>
      </c>
      <c r="O3" s="14" t="s">
        <v>2</v>
      </c>
      <c r="P3" s="14"/>
      <c r="Q3" s="210" t="s">
        <v>12</v>
      </c>
      <c r="R3" s="14" t="s">
        <v>2</v>
      </c>
      <c r="S3" s="14"/>
      <c r="T3" s="210" t="s">
        <v>12</v>
      </c>
      <c r="U3" s="14" t="s">
        <v>2</v>
      </c>
      <c r="V3" s="14"/>
      <c r="W3" s="210" t="s">
        <v>12</v>
      </c>
      <c r="X3" s="14" t="s">
        <v>2</v>
      </c>
      <c r="Y3" s="14"/>
      <c r="Z3" s="210" t="s">
        <v>12</v>
      </c>
      <c r="AA3" s="14" t="s">
        <v>2</v>
      </c>
      <c r="AB3" s="14"/>
      <c r="AC3" s="210" t="s">
        <v>12</v>
      </c>
      <c r="AD3" s="14" t="s">
        <v>2</v>
      </c>
      <c r="AE3" s="14"/>
      <c r="AF3" s="210" t="s">
        <v>12</v>
      </c>
      <c r="AG3" s="14" t="s">
        <v>2</v>
      </c>
      <c r="AH3" s="14"/>
      <c r="AI3" s="210" t="s">
        <v>12</v>
      </c>
      <c r="AJ3" s="14" t="s">
        <v>2</v>
      </c>
      <c r="AK3" s="14"/>
      <c r="AL3" s="210" t="s">
        <v>12</v>
      </c>
      <c r="AM3" s="14" t="s">
        <v>2</v>
      </c>
      <c r="AN3" s="14"/>
      <c r="AO3" s="210" t="s">
        <v>12</v>
      </c>
      <c r="AP3" s="14" t="s">
        <v>2</v>
      </c>
      <c r="AQ3" s="14"/>
      <c r="AR3" s="210" t="s">
        <v>12</v>
      </c>
      <c r="AS3" s="14" t="s">
        <v>2</v>
      </c>
      <c r="AT3" s="14"/>
      <c r="AU3" s="210" t="s">
        <v>12</v>
      </c>
      <c r="AV3" s="14" t="s">
        <v>2</v>
      </c>
      <c r="AW3" s="14"/>
      <c r="AX3" s="210" t="s">
        <v>12</v>
      </c>
      <c r="AY3" s="14" t="s">
        <v>2</v>
      </c>
      <c r="AZ3" s="14"/>
      <c r="BA3" s="210" t="s">
        <v>12</v>
      </c>
      <c r="BB3" s="14" t="s">
        <v>2</v>
      </c>
      <c r="BC3" s="14"/>
      <c r="BD3" s="210" t="s">
        <v>12</v>
      </c>
      <c r="BE3" s="14" t="s">
        <v>2</v>
      </c>
      <c r="BF3" s="14"/>
      <c r="BG3" s="210" t="s">
        <v>12</v>
      </c>
      <c r="BH3" s="14" t="s">
        <v>2</v>
      </c>
      <c r="BI3" s="14"/>
      <c r="BJ3" s="210" t="s">
        <v>12</v>
      </c>
      <c r="BK3" s="14" t="s">
        <v>2</v>
      </c>
      <c r="BL3" s="14"/>
      <c r="BM3" s="210" t="s">
        <v>12</v>
      </c>
      <c r="BN3" s="14" t="s">
        <v>2</v>
      </c>
      <c r="BO3" s="14"/>
      <c r="BP3" s="210" t="s">
        <v>12</v>
      </c>
      <c r="BQ3" s="14" t="s">
        <v>2</v>
      </c>
      <c r="BR3" s="14"/>
      <c r="BS3" s="210" t="s">
        <v>12</v>
      </c>
      <c r="BT3" s="14" t="s">
        <v>2</v>
      </c>
      <c r="BU3" s="14"/>
      <c r="BV3" s="210" t="s">
        <v>12</v>
      </c>
      <c r="BW3" s="14" t="s">
        <v>2</v>
      </c>
      <c r="BX3" s="14"/>
      <c r="BY3" s="210" t="s">
        <v>12</v>
      </c>
      <c r="BZ3" s="14" t="s">
        <v>2</v>
      </c>
      <c r="CA3" s="14"/>
      <c r="CB3" s="210" t="s">
        <v>12</v>
      </c>
      <c r="CC3" s="14" t="s">
        <v>2</v>
      </c>
      <c r="CD3" s="14"/>
      <c r="CE3" s="210" t="s">
        <v>12</v>
      </c>
      <c r="CF3" s="14" t="s">
        <v>2</v>
      </c>
      <c r="CG3" s="14"/>
      <c r="CH3" s="210" t="s">
        <v>12</v>
      </c>
      <c r="CI3" s="14" t="s">
        <v>2</v>
      </c>
      <c r="CJ3" s="14"/>
      <c r="CK3" s="210" t="s">
        <v>12</v>
      </c>
      <c r="CL3" s="14" t="s">
        <v>2</v>
      </c>
      <c r="CM3" s="14"/>
      <c r="CN3" s="210" t="s">
        <v>12</v>
      </c>
      <c r="CO3" s="14" t="s">
        <v>2</v>
      </c>
      <c r="CP3" s="14"/>
      <c r="CQ3" s="210" t="s">
        <v>12</v>
      </c>
      <c r="CR3" s="14" t="s">
        <v>2</v>
      </c>
      <c r="CS3" s="14"/>
      <c r="CT3" s="210" t="s">
        <v>12</v>
      </c>
      <c r="CU3" s="14" t="s">
        <v>2</v>
      </c>
      <c r="CV3" s="14"/>
      <c r="CW3" s="13" t="s">
        <v>12</v>
      </c>
      <c r="CX3" s="14" t="s">
        <v>2</v>
      </c>
      <c r="CY3" s="14"/>
      <c r="CZ3" s="13" t="s">
        <v>12</v>
      </c>
      <c r="DA3" s="14" t="s">
        <v>2</v>
      </c>
      <c r="DB3" s="14"/>
      <c r="DC3" s="13" t="s">
        <v>12</v>
      </c>
      <c r="DD3" s="14" t="s">
        <v>2</v>
      </c>
      <c r="DE3" s="14"/>
      <c r="DF3" s="13" t="s">
        <v>12</v>
      </c>
      <c r="DG3" s="14" t="s">
        <v>2</v>
      </c>
      <c r="DH3" s="14"/>
      <c r="DI3" s="13" t="s">
        <v>12</v>
      </c>
      <c r="DJ3" s="14" t="s">
        <v>2</v>
      </c>
      <c r="DK3" s="14"/>
      <c r="DL3" s="13" t="s">
        <v>12</v>
      </c>
      <c r="DM3" s="14" t="s">
        <v>2</v>
      </c>
      <c r="DN3" s="14"/>
      <c r="DO3" s="13" t="s">
        <v>12</v>
      </c>
      <c r="DP3" s="14" t="s">
        <v>2</v>
      </c>
      <c r="DQ3" s="14"/>
      <c r="DR3" s="13" t="s">
        <v>12</v>
      </c>
      <c r="DS3" s="14" t="s">
        <v>2</v>
      </c>
      <c r="DT3" s="14"/>
      <c r="DU3" s="13" t="s">
        <v>12</v>
      </c>
      <c r="DV3" s="14" t="s">
        <v>2</v>
      </c>
      <c r="DW3" s="14"/>
      <c r="DX3" s="13" t="s">
        <v>12</v>
      </c>
      <c r="DY3" s="14" t="s">
        <v>2</v>
      </c>
      <c r="DZ3" s="14"/>
      <c r="EA3" s="14"/>
      <c r="EB3" s="15" t="s">
        <v>30</v>
      </c>
    </row>
    <row r="4" spans="1:132" ht="12.75" customHeight="1" x14ac:dyDescent="0.25">
      <c r="A4" s="16"/>
      <c r="B4" s="17">
        <v>1</v>
      </c>
      <c r="C4" s="205" t="s">
        <v>133</v>
      </c>
      <c r="D4" s="170" t="s">
        <v>137</v>
      </c>
      <c r="E4" s="170"/>
      <c r="F4" s="18" t="s">
        <v>128</v>
      </c>
      <c r="G4" s="19" t="str">
        <f t="shared" ref="G4:G55" ca="1" si="0">(INDEX(Burndown,ROW(G4)-ROW(G$3),MIN(TODAY()-SprintStart,29)*3+3))</f>
        <v>Complete</v>
      </c>
      <c r="H4" s="21">
        <v>1</v>
      </c>
      <c r="I4" s="21">
        <f t="shared" ref="I4:I55" si="1">CU4</f>
        <v>0</v>
      </c>
      <c r="J4" s="195">
        <v>1</v>
      </c>
      <c r="K4" s="22">
        <v>1</v>
      </c>
      <c r="L4" s="22">
        <f>MAX(J4-K4, 0)</f>
        <v>0</v>
      </c>
      <c r="M4" s="23" t="str">
        <f>IF(SUMPRODUCT($K$58:L$58,$K4:L4)&lt;0.5, "Pending", IF(L4&lt;0.5, "Complete", "In Progress"))</f>
        <v>Complete</v>
      </c>
      <c r="N4" s="22">
        <v>0</v>
      </c>
      <c r="O4" s="22">
        <f>MAX(L4-N4,0)</f>
        <v>0</v>
      </c>
      <c r="P4" s="23" t="str">
        <f>IF(SUMPRODUCT($K$58:O$58,$K4:O4)&lt;0.5, "Pending", IF(O4&lt;0.5, "Complete", "In Progress"))</f>
        <v>Complete</v>
      </c>
      <c r="Q4" s="22">
        <v>0</v>
      </c>
      <c r="R4" s="22">
        <f>MAX(O4-Q4,0)</f>
        <v>0</v>
      </c>
      <c r="S4" s="23" t="str">
        <f>IF(SUMPRODUCT($K$58:R$58,$K4:R4)&lt;0.5, "Pending", IF(R4&lt;0.5, "Complete", "In Progress"))</f>
        <v>Complete</v>
      </c>
      <c r="T4" s="22">
        <v>0</v>
      </c>
      <c r="U4" s="22">
        <f>MAX(R4-T4,0)</f>
        <v>0</v>
      </c>
      <c r="V4" s="23" t="str">
        <f>IF(SUMPRODUCT($K$58:U$58,$K4:U4)&lt;0.5, "Pending", IF(U4&lt;0.5, "Complete", "In Progress"))</f>
        <v>Complete</v>
      </c>
      <c r="W4" s="22">
        <v>0</v>
      </c>
      <c r="X4" s="22">
        <f>MAX(U4-W4,0)</f>
        <v>0</v>
      </c>
      <c r="Y4" s="23" t="str">
        <f>IF(SUMPRODUCT($K$58:X$58,$K4:X4)&lt;0.5, "Pending", IF(X4&lt;0.5, "Complete", "In Progress"))</f>
        <v>Complete</v>
      </c>
      <c r="Z4" s="22">
        <v>0</v>
      </c>
      <c r="AA4" s="22">
        <f>MAX(X4-Z4,0)</f>
        <v>0</v>
      </c>
      <c r="AB4" s="23" t="str">
        <f>IF(SUMPRODUCT($K$58:AA$58,$K4:AA4)&lt;0.5, "Pending", IF(AA4&lt;0.5, "Complete", "In Progress"))</f>
        <v>Complete</v>
      </c>
      <c r="AC4" s="22">
        <v>0</v>
      </c>
      <c r="AD4" s="22">
        <f>MAX(AA4-AC4,0)</f>
        <v>0</v>
      </c>
      <c r="AE4" s="23" t="str">
        <f>IF(SUMPRODUCT($K$58:AD$58,$K4:AD4)&lt;0.5, "Pending", IF(AD4&lt;0.5, "Complete", "In Progress"))</f>
        <v>Complete</v>
      </c>
      <c r="AF4" s="22">
        <v>0</v>
      </c>
      <c r="AG4" s="22">
        <f>MAX(AD4-AF4,0)</f>
        <v>0</v>
      </c>
      <c r="AH4" s="23" t="str">
        <f>IF(SUMPRODUCT($K$58:AG$58,$K4:AG4)&lt;0.5, "Pending", IF(AG4&lt;0.5, "Complete", "In Progress"))</f>
        <v>Complete</v>
      </c>
      <c r="AI4" s="22">
        <v>0</v>
      </c>
      <c r="AJ4" s="22">
        <f>MAX(AG4-AI4,0)</f>
        <v>0</v>
      </c>
      <c r="AK4" s="23" t="str">
        <f>IF(SUMPRODUCT($K$58:AJ$58,$K4:AJ4)&lt;0.5, "Pending", IF(AJ4&lt;0.5, "Complete", "In Progress"))</f>
        <v>Complete</v>
      </c>
      <c r="AL4" s="22">
        <v>0</v>
      </c>
      <c r="AM4" s="22">
        <f>MAX(AJ4-AL4,0)</f>
        <v>0</v>
      </c>
      <c r="AN4" s="23" t="str">
        <f>IF(SUMPRODUCT($K$58:AM$58,$K4:AM4)&lt;0.5, "Pending", IF(AM4&lt;0.5, "Complete", "In Progress"))</f>
        <v>Complete</v>
      </c>
      <c r="AO4" s="22">
        <v>0</v>
      </c>
      <c r="AP4" s="22">
        <f>MAX(AM4-AO4,0)</f>
        <v>0</v>
      </c>
      <c r="AQ4" s="23" t="str">
        <f>IF(SUMPRODUCT($K$58:AP$58,$K4:AP4)&lt;0.5, "Pending", IF(AP4&lt;0.5, "Complete", "In Progress"))</f>
        <v>Complete</v>
      </c>
      <c r="AR4" s="22">
        <v>0</v>
      </c>
      <c r="AS4" s="22">
        <f>MAX(AP4-AR4,0)</f>
        <v>0</v>
      </c>
      <c r="AT4" s="23" t="str">
        <f>IF(SUMPRODUCT($K$58:AS$58,$K4:AS4)&lt;0.5, "Pending", IF(AS4&lt;0.5, "Complete", "In Progress"))</f>
        <v>Complete</v>
      </c>
      <c r="AU4" s="22">
        <v>0</v>
      </c>
      <c r="AV4" s="22">
        <f>MAX(AS4-AU4,0)</f>
        <v>0</v>
      </c>
      <c r="AW4" s="23" t="str">
        <f>IF(SUMPRODUCT($K$58:AV$58,$K4:AV4)&lt;0.5, "Pending", IF(AV4&lt;0.5, "Complete", "In Progress"))</f>
        <v>Complete</v>
      </c>
      <c r="AX4" s="22">
        <v>0</v>
      </c>
      <c r="AY4" s="22">
        <f>MAX(AV4-AX4,0)</f>
        <v>0</v>
      </c>
      <c r="AZ4" s="23" t="str">
        <f>IF(SUMPRODUCT($K$58:AY$58,$K4:AY4)&lt;0.5, "Pending", IF(AY4&lt;0.5, "Complete", "In Progress"))</f>
        <v>Complete</v>
      </c>
      <c r="BA4" s="22">
        <v>0</v>
      </c>
      <c r="BB4" s="22">
        <f>MAX(AY4-BA4,0)</f>
        <v>0</v>
      </c>
      <c r="BC4" s="23" t="str">
        <f>IF(SUMPRODUCT($K$58:BB$58,$K4:BB4)&lt;0.5, "Pending", IF(BB4&lt;0.5, "Complete", "In Progress"))</f>
        <v>Complete</v>
      </c>
      <c r="BD4" s="22">
        <v>0</v>
      </c>
      <c r="BE4" s="22">
        <f>MAX(BB4-BD4,0)</f>
        <v>0</v>
      </c>
      <c r="BF4" s="23" t="str">
        <f>IF(SUMPRODUCT($K$58:BE$58,$K4:BE4)&lt;0.5, "Pending", IF(BE4&lt;0.5, "Complete", "In Progress"))</f>
        <v>Complete</v>
      </c>
      <c r="BG4" s="22">
        <v>0</v>
      </c>
      <c r="BH4" s="22">
        <f>MAX(BE4-BG4,0)</f>
        <v>0</v>
      </c>
      <c r="BI4" s="23" t="str">
        <f>IF(SUMPRODUCT($K$58:BH$58,$K4:BH4)&lt;0.5, "Pending", IF(BH4&lt;0.5, "Complete", "In Progress"))</f>
        <v>Complete</v>
      </c>
      <c r="BJ4" s="22">
        <v>0</v>
      </c>
      <c r="BK4" s="22">
        <f>MAX(BH4-BJ4,0)</f>
        <v>0</v>
      </c>
      <c r="BL4" s="23" t="str">
        <f>IF(SUMPRODUCT($K$58:BK$58,$K4:BK4)&lt;0.5, "Pending", IF(BK4&lt;0.5, "Complete", "In Progress"))</f>
        <v>Complete</v>
      </c>
      <c r="BM4" s="22">
        <v>0</v>
      </c>
      <c r="BN4" s="22">
        <f>MAX(BK4-BM4,0)</f>
        <v>0</v>
      </c>
      <c r="BO4" s="23" t="str">
        <f>IF(SUMPRODUCT($K$58:BN$58,$K4:BN4)&lt;0.5, "Pending", IF(BN4&lt;0.5, "Complete", "In Progress"))</f>
        <v>Complete</v>
      </c>
      <c r="BP4" s="22">
        <v>0</v>
      </c>
      <c r="BQ4" s="22">
        <f>MAX(BN4-BP4,0)</f>
        <v>0</v>
      </c>
      <c r="BR4" s="23" t="str">
        <f>IF(SUMPRODUCT($K$58:BQ$58,$K4:BQ4)&lt;0.5, "Pending", IF(BQ4&lt;0.5, "Complete", "In Progress"))</f>
        <v>Complete</v>
      </c>
      <c r="BS4" s="22">
        <v>0</v>
      </c>
      <c r="BT4" s="22">
        <f>MAX(BQ4-BS4,0)</f>
        <v>0</v>
      </c>
      <c r="BU4" s="23" t="str">
        <f>IF(SUMPRODUCT($K$58:BT$58,$K4:BT4)&lt;0.5, "Pending", IF(BT4&lt;0.5, "Complete", "In Progress"))</f>
        <v>Complete</v>
      </c>
      <c r="BV4" s="22">
        <v>0</v>
      </c>
      <c r="BW4" s="22">
        <f>MAX(BT4-BV4,0)</f>
        <v>0</v>
      </c>
      <c r="BX4" s="23" t="str">
        <f>IF(SUMPRODUCT($K$58:BW$58,$K4:BW4)&lt;0.5, "Pending", IF(BW4&lt;0.5, "Complete", "In Progress"))</f>
        <v>Complete</v>
      </c>
      <c r="BY4" s="22">
        <v>0</v>
      </c>
      <c r="BZ4" s="22">
        <f>MAX(BW4-BY4,0)</f>
        <v>0</v>
      </c>
      <c r="CA4" s="23" t="str">
        <f>IF(SUMPRODUCT($K$58:BZ$58,$K4:BZ4)&lt;0.5, "Pending", IF(BZ4&lt;0.5, "Complete", "In Progress"))</f>
        <v>Complete</v>
      </c>
      <c r="CB4" s="22">
        <v>0</v>
      </c>
      <c r="CC4" s="22">
        <f>MAX(BZ4-CB4,0)</f>
        <v>0</v>
      </c>
      <c r="CD4" s="23" t="str">
        <f>IF(SUMPRODUCT($K$58:CC$58,$K4:CC4)&lt;0.5, "Pending", IF(CC4&lt;0.5, "Complete", "In Progress"))</f>
        <v>Complete</v>
      </c>
      <c r="CE4" s="22">
        <v>0</v>
      </c>
      <c r="CF4" s="22">
        <f>MAX(CC4-CE4,0)</f>
        <v>0</v>
      </c>
      <c r="CG4" s="23" t="str">
        <f>IF(SUMPRODUCT($K$58:CF$58,$K4:CF4)&lt;0.5, "Pending", IF(CF4&lt;0.5, "Complete", "In Progress"))</f>
        <v>Complete</v>
      </c>
      <c r="CH4" s="22">
        <v>0</v>
      </c>
      <c r="CI4" s="22">
        <f>MAX(CF4-CH4,0)</f>
        <v>0</v>
      </c>
      <c r="CJ4" s="23" t="str">
        <f>IF(SUMPRODUCT($K$58:CI$58,$K4:CI4)&lt;0.5, "Pending", IF(CI4&lt;0.5, "Complete", "In Progress"))</f>
        <v>Complete</v>
      </c>
      <c r="CK4" s="22">
        <v>0</v>
      </c>
      <c r="CL4" s="22">
        <f>MAX(CI4-CK4,0)</f>
        <v>0</v>
      </c>
      <c r="CM4" s="23" t="str">
        <f>IF(SUMPRODUCT($K$58:CL$58,$K4:CL4)&lt;0.5, "Pending", IF(CL4&lt;0.5, "Complete", "In Progress"))</f>
        <v>Complete</v>
      </c>
      <c r="CN4" s="22">
        <v>0</v>
      </c>
      <c r="CO4" s="22">
        <f>MAX(CL4-CN4,0)</f>
        <v>0</v>
      </c>
      <c r="CP4" s="23" t="str">
        <f>IF(SUMPRODUCT($K$58:CO$58,$K4:CO4)&lt;0.5, "Pending", IF(CO4&lt;0.5, "Complete", "In Progress"))</f>
        <v>Complete</v>
      </c>
      <c r="CQ4" s="22">
        <v>0</v>
      </c>
      <c r="CR4" s="22">
        <f>MAX(CO4-CQ4,0)</f>
        <v>0</v>
      </c>
      <c r="CS4" s="23" t="str">
        <f>IF(SUMPRODUCT($K$58:CR$58,$K4:CR4)&lt;0.5, "Pending", IF(CR4&lt;0.5, "Complete", "In Progress"))</f>
        <v>Complete</v>
      </c>
      <c r="CT4" s="22">
        <v>0</v>
      </c>
      <c r="CU4" s="22">
        <f>MAX(CR4-CT4,0)</f>
        <v>0</v>
      </c>
      <c r="CV4" s="23" t="str">
        <f>IF(SUMPRODUCT($K$58:CU$58,$K4:CU4)&lt;0.5, "Pending", IF(CU4&lt;0.5, "Complete", "In Progress"))</f>
        <v>Complete</v>
      </c>
      <c r="CW4" s="22">
        <v>0</v>
      </c>
      <c r="CX4" s="22">
        <f t="shared" ref="CX4:CX15" si="2">MAX(CU4-CW4,0)</f>
        <v>0</v>
      </c>
      <c r="CY4" s="23" t="str">
        <f>IF(SUMPRODUCT($K$58:CX$58,$K4:CX4)&lt;0.5, "Pending", IF(CX4&lt;0.5, "Complete", "In Progress"))</f>
        <v>Complete</v>
      </c>
      <c r="CZ4" s="22">
        <v>0</v>
      </c>
      <c r="DA4" s="22">
        <f t="shared" ref="DA4:DA15" si="3">MAX(CX4-CZ4,0)</f>
        <v>0</v>
      </c>
      <c r="DB4" s="23" t="str">
        <f>IF(SUMPRODUCT($K$58:DA$58,$K4:DA4)&lt;0.5, "Pending", IF(DA4&lt;0.5, "Complete", "In Progress"))</f>
        <v>Complete</v>
      </c>
      <c r="DC4" s="22">
        <v>0</v>
      </c>
      <c r="DD4" s="22">
        <f t="shared" ref="DD4:DD15" si="4">MAX(DA4-DC4,0)</f>
        <v>0</v>
      </c>
      <c r="DE4" s="23" t="str">
        <f>IF(SUMPRODUCT($K$58:DD$58,$K4:DD4)&lt;0.5, "Pending", IF(DD4&lt;0.5, "Complete", "In Progress"))</f>
        <v>Complete</v>
      </c>
      <c r="DF4" s="22">
        <v>0</v>
      </c>
      <c r="DG4" s="22">
        <f t="shared" ref="DG4:DG15" si="5">MAX(DD4-DF4,0)</f>
        <v>0</v>
      </c>
      <c r="DH4" s="23" t="str">
        <f>IF(SUMPRODUCT($K$58:DG$58,$K4:DG4)&lt;0.5, "Pending", IF(DG4&lt;0.5, "Complete", "In Progress"))</f>
        <v>Complete</v>
      </c>
      <c r="DI4" s="22">
        <v>0</v>
      </c>
      <c r="DJ4" s="22">
        <f t="shared" ref="DJ4:DJ15" si="6">MAX(DG4-DI4,0)</f>
        <v>0</v>
      </c>
      <c r="DK4" s="23" t="str">
        <f>IF(SUMPRODUCT($K$58:DJ$58,$K4:DJ4)&lt;0.5, "Pending", IF(DJ4&lt;0.5, "Complete", "In Progress"))</f>
        <v>Complete</v>
      </c>
      <c r="DL4" s="22">
        <v>0</v>
      </c>
      <c r="DM4" s="22">
        <f t="shared" ref="DM4:DM15" si="7">MAX(DJ4-DL4,0)</f>
        <v>0</v>
      </c>
      <c r="DN4" s="23" t="str">
        <f>IF(SUMPRODUCT($K$58:DM$58,$K4:DM4)&lt;0.5, "Pending", IF(DM4&lt;0.5, "Complete", "In Progress"))</f>
        <v>Complete</v>
      </c>
      <c r="DO4" s="22">
        <v>0</v>
      </c>
      <c r="DP4" s="22">
        <f t="shared" ref="DP4:DP15" si="8">MAX(DM4-DO4,0)</f>
        <v>0</v>
      </c>
      <c r="DQ4" s="23" t="str">
        <f>IF(SUMPRODUCT($K$58:DP$58,$K4:DP4)&lt;0.5, "Pending", IF(DP4&lt;0.5, "Complete", "In Progress"))</f>
        <v>Complete</v>
      </c>
      <c r="DR4" s="22">
        <v>0</v>
      </c>
      <c r="DS4" s="22">
        <f t="shared" ref="DS4:DS15" si="9">MAX(DP4-DR4,0)</f>
        <v>0</v>
      </c>
      <c r="DT4" s="23" t="str">
        <f>IF(SUMPRODUCT($K$58:DS$58,$K4:DS4)&lt;0.5, "Pending", IF(DS4&lt;0.5, "Complete", "In Progress"))</f>
        <v>Complete</v>
      </c>
      <c r="DU4" s="22">
        <v>0</v>
      </c>
      <c r="DV4" s="22">
        <f t="shared" ref="DV4:DV15" si="10">MAX(DS4-DU4,0)</f>
        <v>0</v>
      </c>
      <c r="DW4" s="23" t="str">
        <f>IF(SUMPRODUCT($K$58:DV$58,$K4:DV4)&lt;0.5, "Pending", IF(DV4&lt;0.5, "Complete", "In Progress"))</f>
        <v>Complete</v>
      </c>
      <c r="DX4" s="22">
        <v>0</v>
      </c>
      <c r="DY4" s="22">
        <f t="shared" ref="DY4:DY15" si="11">MAX(DV4-DX4,0)</f>
        <v>0</v>
      </c>
      <c r="DZ4" s="23" t="str">
        <f>IF(SUMPRODUCT($K$58:DY$58,$K4:DY4)&lt;0.5, "Pending", IF(DY4&lt;0.5, "Complete", "In Progress"))</f>
        <v>Complete</v>
      </c>
      <c r="EA4" s="24"/>
      <c r="EB4" s="25">
        <f>SUMPRODUCT($I$58:DH$58,$I4:DH4)</f>
        <v>1</v>
      </c>
    </row>
    <row r="5" spans="1:132" ht="12.75" customHeight="1" x14ac:dyDescent="0.25">
      <c r="A5" s="16"/>
      <c r="B5" s="17">
        <v>2</v>
      </c>
      <c r="C5" s="205" t="s">
        <v>134</v>
      </c>
      <c r="D5" s="170" t="s">
        <v>137</v>
      </c>
      <c r="E5" s="170"/>
      <c r="F5" s="18" t="s">
        <v>128</v>
      </c>
      <c r="G5" s="19" t="str">
        <f t="shared" ca="1" si="0"/>
        <v>Pending</v>
      </c>
      <c r="H5" s="21">
        <v>2</v>
      </c>
      <c r="I5" s="21">
        <f t="shared" si="1"/>
        <v>2</v>
      </c>
      <c r="J5" s="195">
        <v>2</v>
      </c>
      <c r="K5" s="22">
        <v>0</v>
      </c>
      <c r="L5" s="22">
        <f t="shared" ref="L5:L48" si="12">MAX(J5-K5, 0)</f>
        <v>2</v>
      </c>
      <c r="M5" s="23" t="str">
        <f>IF(SUMPRODUCT($K$58:L$58,$K5:L5)&lt;0.5, "Pending", IF(L5&lt;0.5, "Complete", "In Progress"))</f>
        <v>Pending</v>
      </c>
      <c r="N5" s="22">
        <v>0</v>
      </c>
      <c r="O5" s="22">
        <f t="shared" ref="O5:O48" si="13">MAX(L5-N5,0)</f>
        <v>2</v>
      </c>
      <c r="P5" s="23" t="str">
        <f>IF(SUMPRODUCT($K$58:O$58,$K5:O5)&lt;0.5, "Pending", IF(O5&lt;0.5, "Complete", "In Progress"))</f>
        <v>Pending</v>
      </c>
      <c r="Q5" s="22">
        <v>0</v>
      </c>
      <c r="R5" s="22">
        <f t="shared" ref="R5:R48" si="14">MAX(O5-Q5,0)</f>
        <v>2</v>
      </c>
      <c r="S5" s="23" t="str">
        <f>IF(SUMPRODUCT($K$58:R$58,$K5:R5)&lt;0.5, "Pending", IF(R5&lt;0.5, "Complete", "In Progress"))</f>
        <v>Pending</v>
      </c>
      <c r="T5" s="22">
        <v>0</v>
      </c>
      <c r="U5" s="22">
        <f t="shared" ref="U5:U48" si="15">MAX(R5-T5,0)</f>
        <v>2</v>
      </c>
      <c r="V5" s="23" t="str">
        <f>IF(SUMPRODUCT($K$58:U$58,$K5:U5)&lt;0.5, "Pending", IF(U5&lt;0.5, "Complete", "In Progress"))</f>
        <v>Pending</v>
      </c>
      <c r="W5" s="22">
        <v>0</v>
      </c>
      <c r="X5" s="22">
        <f t="shared" ref="X5:X48" si="16">MAX(U5-W5,0)</f>
        <v>2</v>
      </c>
      <c r="Y5" s="23" t="str">
        <f>IF(SUMPRODUCT($K$58:X$58,$K5:X5)&lt;0.5, "Pending", IF(X5&lt;0.5, "Complete", "In Progress"))</f>
        <v>Pending</v>
      </c>
      <c r="Z5" s="22">
        <v>0</v>
      </c>
      <c r="AA5" s="22">
        <f t="shared" ref="AA5:AA48" si="17">MAX(X5-Z5,0)</f>
        <v>2</v>
      </c>
      <c r="AB5" s="23" t="str">
        <f>IF(SUMPRODUCT($K$58:AA$58,$K5:AA5)&lt;0.5, "Pending", IF(AA5&lt;0.5, "Complete", "In Progress"))</f>
        <v>Pending</v>
      </c>
      <c r="AC5" s="22">
        <v>0</v>
      </c>
      <c r="AD5" s="22">
        <f t="shared" ref="AD5:AD48" si="18">MAX(AA5-AC5,0)</f>
        <v>2</v>
      </c>
      <c r="AE5" s="23" t="str">
        <f>IF(SUMPRODUCT($K$58:AD$58,$K5:AD5)&lt;0.5, "Pending", IF(AD5&lt;0.5, "Complete", "In Progress"))</f>
        <v>Pending</v>
      </c>
      <c r="AF5" s="22">
        <v>0</v>
      </c>
      <c r="AG5" s="22">
        <f t="shared" ref="AG5:AG48" si="19">MAX(AD5-AF5,0)</f>
        <v>2</v>
      </c>
      <c r="AH5" s="23" t="str">
        <f>IF(SUMPRODUCT($K$58:AG$58,$K5:AG5)&lt;0.5, "Pending", IF(AG5&lt;0.5, "Complete", "In Progress"))</f>
        <v>Pending</v>
      </c>
      <c r="AI5" s="22">
        <v>0</v>
      </c>
      <c r="AJ5" s="22">
        <f t="shared" ref="AJ5:AJ48" si="20">MAX(AG5-AI5,0)</f>
        <v>2</v>
      </c>
      <c r="AK5" s="23" t="str">
        <f>IF(SUMPRODUCT($K$58:AJ$58,$K5:AJ5)&lt;0.5, "Pending", IF(AJ5&lt;0.5, "Complete", "In Progress"))</f>
        <v>Pending</v>
      </c>
      <c r="AL5" s="22">
        <v>0</v>
      </c>
      <c r="AM5" s="22">
        <f t="shared" ref="AM5:AM48" si="21">MAX(AJ5-AL5,0)</f>
        <v>2</v>
      </c>
      <c r="AN5" s="23" t="str">
        <f>IF(SUMPRODUCT($K$58:AM$58,$K5:AM5)&lt;0.5, "Pending", IF(AM5&lt;0.5, "Complete", "In Progress"))</f>
        <v>Pending</v>
      </c>
      <c r="AO5" s="22">
        <v>0</v>
      </c>
      <c r="AP5" s="22">
        <f t="shared" ref="AP5:AP48" si="22">MAX(AM5-AO5,0)</f>
        <v>2</v>
      </c>
      <c r="AQ5" s="23" t="str">
        <f>IF(SUMPRODUCT($K$58:AP$58,$K5:AP5)&lt;0.5, "Pending", IF(AP5&lt;0.5, "Complete", "In Progress"))</f>
        <v>Pending</v>
      </c>
      <c r="AR5" s="22">
        <v>0</v>
      </c>
      <c r="AS5" s="22">
        <f t="shared" ref="AS5:AS48" si="23">MAX(AP5-AR5,0)</f>
        <v>2</v>
      </c>
      <c r="AT5" s="23" t="str">
        <f>IF(SUMPRODUCT($K$58:AS$58,$K5:AS5)&lt;0.5, "Pending", IF(AS5&lt;0.5, "Complete", "In Progress"))</f>
        <v>Pending</v>
      </c>
      <c r="AU5" s="22">
        <v>0</v>
      </c>
      <c r="AV5" s="22">
        <f t="shared" ref="AV5:AV48" si="24">MAX(AS5-AU5,0)</f>
        <v>2</v>
      </c>
      <c r="AW5" s="23" t="str">
        <f>IF(SUMPRODUCT($K$58:AV$58,$K5:AV5)&lt;0.5, "Pending", IF(AV5&lt;0.5, "Complete", "In Progress"))</f>
        <v>Pending</v>
      </c>
      <c r="AX5" s="22">
        <v>0</v>
      </c>
      <c r="AY5" s="22">
        <f t="shared" ref="AY5:AY48" si="25">MAX(AV5-AX5,0)</f>
        <v>2</v>
      </c>
      <c r="AZ5" s="23" t="str">
        <f>IF(SUMPRODUCT($K$58:AY$58,$K5:AY5)&lt;0.5, "Pending", IF(AY5&lt;0.5, "Complete", "In Progress"))</f>
        <v>Pending</v>
      </c>
      <c r="BA5" s="22">
        <v>0</v>
      </c>
      <c r="BB5" s="22">
        <f t="shared" ref="BB5:BB48" si="26">MAX(AY5-BA5,0)</f>
        <v>2</v>
      </c>
      <c r="BC5" s="23" t="str">
        <f>IF(SUMPRODUCT($K$58:BB$58,$K5:BB5)&lt;0.5, "Pending", IF(BB5&lt;0.5, "Complete", "In Progress"))</f>
        <v>Pending</v>
      </c>
      <c r="BD5" s="22">
        <v>0</v>
      </c>
      <c r="BE5" s="22">
        <f t="shared" ref="BE5:BE48" si="27">MAX(BB5-BD5,0)</f>
        <v>2</v>
      </c>
      <c r="BF5" s="23" t="str">
        <f>IF(SUMPRODUCT($K$58:BE$58,$K5:BE5)&lt;0.5, "Pending", IF(BE5&lt;0.5, "Complete", "In Progress"))</f>
        <v>Pending</v>
      </c>
      <c r="BG5" s="22">
        <v>0</v>
      </c>
      <c r="BH5" s="22">
        <f t="shared" ref="BH5:BH48" si="28">MAX(BE5-BG5,0)</f>
        <v>2</v>
      </c>
      <c r="BI5" s="23" t="str">
        <f>IF(SUMPRODUCT($K$58:BH$58,$K5:BH5)&lt;0.5, "Pending", IF(BH5&lt;0.5, "Complete", "In Progress"))</f>
        <v>Pending</v>
      </c>
      <c r="BJ5" s="22">
        <v>0</v>
      </c>
      <c r="BK5" s="22">
        <f t="shared" ref="BK5:BK48" si="29">MAX(BH5-BJ5,0)</f>
        <v>2</v>
      </c>
      <c r="BL5" s="23" t="str">
        <f>IF(SUMPRODUCT($K$58:BK$58,$K5:BK5)&lt;0.5, "Pending", IF(BK5&lt;0.5, "Complete", "In Progress"))</f>
        <v>Pending</v>
      </c>
      <c r="BM5" s="22">
        <v>0</v>
      </c>
      <c r="BN5" s="22">
        <f t="shared" ref="BN5:BN48" si="30">MAX(BK5-BM5,0)</f>
        <v>2</v>
      </c>
      <c r="BO5" s="23" t="str">
        <f>IF(SUMPRODUCT($K$58:BN$58,$K5:BN5)&lt;0.5, "Pending", IF(BN5&lt;0.5, "Complete", "In Progress"))</f>
        <v>Pending</v>
      </c>
      <c r="BP5" s="22">
        <v>0</v>
      </c>
      <c r="BQ5" s="22">
        <f t="shared" ref="BQ5:BQ48" si="31">MAX(BN5-BP5,0)</f>
        <v>2</v>
      </c>
      <c r="BR5" s="23" t="str">
        <f>IF(SUMPRODUCT($K$58:BQ$58,$K5:BQ5)&lt;0.5, "Pending", IF(BQ5&lt;0.5, "Complete", "In Progress"))</f>
        <v>Pending</v>
      </c>
      <c r="BS5" s="22">
        <v>0</v>
      </c>
      <c r="BT5" s="22">
        <f t="shared" ref="BT5:BT48" si="32">MAX(BQ5-BS5,0)</f>
        <v>2</v>
      </c>
      <c r="BU5" s="23" t="str">
        <f>IF(SUMPRODUCT($K$58:BT$58,$K5:BT5)&lt;0.5, "Pending", IF(BT5&lt;0.5, "Complete", "In Progress"))</f>
        <v>Pending</v>
      </c>
      <c r="BV5" s="22">
        <v>0</v>
      </c>
      <c r="BW5" s="22">
        <f t="shared" ref="BW5:BW48" si="33">MAX(BT5-BV5,0)</f>
        <v>2</v>
      </c>
      <c r="BX5" s="23" t="str">
        <f>IF(SUMPRODUCT($K$58:BW$58,$K5:BW5)&lt;0.5, "Pending", IF(BW5&lt;0.5, "Complete", "In Progress"))</f>
        <v>Pending</v>
      </c>
      <c r="BY5" s="22">
        <v>0</v>
      </c>
      <c r="BZ5" s="22">
        <f t="shared" ref="BZ5:BZ48" si="34">MAX(BW5-BY5,0)</f>
        <v>2</v>
      </c>
      <c r="CA5" s="23" t="str">
        <f>IF(SUMPRODUCT($K$58:BZ$58,$K5:BZ5)&lt;0.5, "Pending", IF(BZ5&lt;0.5, "Complete", "In Progress"))</f>
        <v>Pending</v>
      </c>
      <c r="CB5" s="22">
        <v>0</v>
      </c>
      <c r="CC5" s="22">
        <f t="shared" ref="CC5:CC48" si="35">MAX(BZ5-CB5,0)</f>
        <v>2</v>
      </c>
      <c r="CD5" s="23" t="str">
        <f>IF(SUMPRODUCT($K$58:CC$58,$K5:CC5)&lt;0.5, "Pending", IF(CC5&lt;0.5, "Complete", "In Progress"))</f>
        <v>Pending</v>
      </c>
      <c r="CE5" s="22">
        <v>0</v>
      </c>
      <c r="CF5" s="22">
        <f t="shared" ref="CF5:CF48" si="36">MAX(CC5-CE5,0)</f>
        <v>2</v>
      </c>
      <c r="CG5" s="23" t="str">
        <f>IF(SUMPRODUCT($K$58:CF$58,$K5:CF5)&lt;0.5, "Pending", IF(CF5&lt;0.5, "Complete", "In Progress"))</f>
        <v>Pending</v>
      </c>
      <c r="CH5" s="22">
        <v>0</v>
      </c>
      <c r="CI5" s="22">
        <f t="shared" ref="CI5:CI48" si="37">MAX(CF5-CH5,0)</f>
        <v>2</v>
      </c>
      <c r="CJ5" s="23" t="str">
        <f>IF(SUMPRODUCT($K$58:CI$58,$K5:CI5)&lt;0.5, "Pending", IF(CI5&lt;0.5, "Complete", "In Progress"))</f>
        <v>Pending</v>
      </c>
      <c r="CK5" s="22">
        <v>0</v>
      </c>
      <c r="CL5" s="22">
        <f t="shared" ref="CL5:CL48" si="38">MAX(CI5-CK5,0)</f>
        <v>2</v>
      </c>
      <c r="CM5" s="23" t="str">
        <f>IF(SUMPRODUCT($K$58:CL$58,$K5:CL5)&lt;0.5, "Pending", IF(CL5&lt;0.5, "Complete", "In Progress"))</f>
        <v>Pending</v>
      </c>
      <c r="CN5" s="22">
        <v>0</v>
      </c>
      <c r="CO5" s="22">
        <f t="shared" ref="CO5:CO48" si="39">MAX(CL5-CN5,0)</f>
        <v>2</v>
      </c>
      <c r="CP5" s="23" t="str">
        <f>IF(SUMPRODUCT($K$58:CO$58,$K5:CO5)&lt;0.5, "Pending", IF(CO5&lt;0.5, "Complete", "In Progress"))</f>
        <v>Pending</v>
      </c>
      <c r="CQ5" s="22">
        <v>0</v>
      </c>
      <c r="CR5" s="22">
        <f t="shared" ref="CR5:CR48" si="40">MAX(CO5-CQ5,0)</f>
        <v>2</v>
      </c>
      <c r="CS5" s="23" t="str">
        <f>IF(SUMPRODUCT($K$58:CR$58,$K5:CR5)&lt;0.5, "Pending", IF(CR5&lt;0.5, "Complete", "In Progress"))</f>
        <v>Pending</v>
      </c>
      <c r="CT5" s="22">
        <v>0</v>
      </c>
      <c r="CU5" s="22">
        <f t="shared" ref="CU5:CU48" si="41">MAX(CR5-CT5,0)</f>
        <v>2</v>
      </c>
      <c r="CV5" s="23" t="str">
        <f>IF(SUMPRODUCT($K$58:CU$58,$K5:CU5)&lt;0.5, "Pending", IF(CU5&lt;0.5, "Complete", "In Progress"))</f>
        <v>Pending</v>
      </c>
      <c r="CW5" s="22">
        <v>0</v>
      </c>
      <c r="CX5" s="22">
        <f t="shared" si="2"/>
        <v>2</v>
      </c>
      <c r="CY5" s="23" t="str">
        <f>IF(SUMPRODUCT($K$58:CX$58,$K5:CX5)&lt;0.5, "Pending", IF(CX5&lt;0.5, "Complete", "In Progress"))</f>
        <v>Pending</v>
      </c>
      <c r="CZ5" s="22">
        <v>0</v>
      </c>
      <c r="DA5" s="22">
        <f t="shared" si="3"/>
        <v>2</v>
      </c>
      <c r="DB5" s="23" t="str">
        <f>IF(SUMPRODUCT($K$58:DA$58,$K5:DA5)&lt;0.5, "Pending", IF(DA5&lt;0.5, "Complete", "In Progress"))</f>
        <v>Pending</v>
      </c>
      <c r="DC5" s="22">
        <v>0</v>
      </c>
      <c r="DD5" s="22">
        <f t="shared" si="4"/>
        <v>2</v>
      </c>
      <c r="DE5" s="23" t="str">
        <f>IF(SUMPRODUCT($K$58:DD$58,$K5:DD5)&lt;0.5, "Pending", IF(DD5&lt;0.5, "Complete", "In Progress"))</f>
        <v>Pending</v>
      </c>
      <c r="DF5" s="22">
        <v>0</v>
      </c>
      <c r="DG5" s="22">
        <f t="shared" si="5"/>
        <v>2</v>
      </c>
      <c r="DH5" s="23" t="str">
        <f>IF(SUMPRODUCT($K$58:DG$58,$K5:DG5)&lt;0.5, "Pending", IF(DG5&lt;0.5, "Complete", "In Progress"))</f>
        <v>Pending</v>
      </c>
      <c r="DI5" s="22">
        <v>0</v>
      </c>
      <c r="DJ5" s="22">
        <f t="shared" si="6"/>
        <v>2</v>
      </c>
      <c r="DK5" s="23" t="str">
        <f>IF(SUMPRODUCT($K$58:DJ$58,$K5:DJ5)&lt;0.5, "Pending", IF(DJ5&lt;0.5, "Complete", "In Progress"))</f>
        <v>Pending</v>
      </c>
      <c r="DL5" s="22">
        <v>0</v>
      </c>
      <c r="DM5" s="22">
        <f t="shared" si="7"/>
        <v>2</v>
      </c>
      <c r="DN5" s="23" t="str">
        <f>IF(SUMPRODUCT($K$58:DM$58,$K5:DM5)&lt;0.5, "Pending", IF(DM5&lt;0.5, "Complete", "In Progress"))</f>
        <v>Pending</v>
      </c>
      <c r="DO5" s="22">
        <v>0</v>
      </c>
      <c r="DP5" s="22">
        <f t="shared" si="8"/>
        <v>2</v>
      </c>
      <c r="DQ5" s="23" t="str">
        <f>IF(SUMPRODUCT($K$58:DP$58,$K5:DP5)&lt;0.5, "Pending", IF(DP5&lt;0.5, "Complete", "In Progress"))</f>
        <v>Pending</v>
      </c>
      <c r="DR5" s="22">
        <v>0</v>
      </c>
      <c r="DS5" s="22">
        <f t="shared" si="9"/>
        <v>2</v>
      </c>
      <c r="DT5" s="23" t="str">
        <f>IF(SUMPRODUCT($K$58:DS$58,$K5:DS5)&lt;0.5, "Pending", IF(DS5&lt;0.5, "Complete", "In Progress"))</f>
        <v>Pending</v>
      </c>
      <c r="DU5" s="22">
        <v>0</v>
      </c>
      <c r="DV5" s="22">
        <f t="shared" si="10"/>
        <v>2</v>
      </c>
      <c r="DW5" s="23" t="str">
        <f>IF(SUMPRODUCT($K$58:DV$58,$K5:DV5)&lt;0.5, "Pending", IF(DV5&lt;0.5, "Complete", "In Progress"))</f>
        <v>Pending</v>
      </c>
      <c r="DX5" s="22">
        <v>0</v>
      </c>
      <c r="DY5" s="22">
        <f t="shared" si="11"/>
        <v>2</v>
      </c>
      <c r="DZ5" s="23" t="str">
        <f>IF(SUMPRODUCT($K$58:DY$58,$K5:DY5)&lt;0.5, "Pending", IF(DY5&lt;0.5, "Complete", "In Progress"))</f>
        <v>Pending</v>
      </c>
      <c r="EA5" s="24"/>
      <c r="EB5" s="25">
        <f>SUMPRODUCT($I$58:DH$58,$I5:DH5)</f>
        <v>0</v>
      </c>
    </row>
    <row r="6" spans="1:132" x14ac:dyDescent="0.25">
      <c r="A6" s="16"/>
      <c r="B6" s="17">
        <v>3</v>
      </c>
      <c r="C6" s="205" t="s">
        <v>130</v>
      </c>
      <c r="D6" s="170" t="s">
        <v>137</v>
      </c>
      <c r="E6" s="170"/>
      <c r="F6" s="18" t="s">
        <v>129</v>
      </c>
      <c r="G6" s="19" t="str">
        <f t="shared" ca="1" si="0"/>
        <v>Pending</v>
      </c>
      <c r="H6" s="21">
        <v>2</v>
      </c>
      <c r="I6" s="21">
        <f t="shared" si="1"/>
        <v>2</v>
      </c>
      <c r="J6" s="195">
        <v>2</v>
      </c>
      <c r="K6" s="22">
        <v>0</v>
      </c>
      <c r="L6" s="22">
        <f t="shared" si="12"/>
        <v>2</v>
      </c>
      <c r="M6" s="23" t="str">
        <f>IF(SUMPRODUCT($K$58:L$58,$K6:L6)&lt;0.5, "Pending", IF(L6&lt;0.5, "Complete", "In Progress"))</f>
        <v>Pending</v>
      </c>
      <c r="N6" s="22">
        <v>0</v>
      </c>
      <c r="O6" s="22">
        <f t="shared" si="13"/>
        <v>2</v>
      </c>
      <c r="P6" s="23" t="str">
        <f>IF(SUMPRODUCT($K$58:O$58,$K6:O6)&lt;0.5, "Pending", IF(O6&lt;0.5, "Complete", "In Progress"))</f>
        <v>Pending</v>
      </c>
      <c r="Q6" s="22">
        <v>0</v>
      </c>
      <c r="R6" s="22">
        <f t="shared" si="14"/>
        <v>2</v>
      </c>
      <c r="S6" s="23" t="str">
        <f>IF(SUMPRODUCT($K$58:R$58,$K6:R6)&lt;0.5, "Pending", IF(R6&lt;0.5, "Complete", "In Progress"))</f>
        <v>Pending</v>
      </c>
      <c r="T6" s="22">
        <v>0</v>
      </c>
      <c r="U6" s="22">
        <f t="shared" si="15"/>
        <v>2</v>
      </c>
      <c r="V6" s="23" t="str">
        <f>IF(SUMPRODUCT($K$58:U$58,$K6:U6)&lt;0.5, "Pending", IF(U6&lt;0.5, "Complete", "In Progress"))</f>
        <v>Pending</v>
      </c>
      <c r="W6" s="22">
        <v>0</v>
      </c>
      <c r="X6" s="22">
        <f t="shared" si="16"/>
        <v>2</v>
      </c>
      <c r="Y6" s="23" t="str">
        <f>IF(SUMPRODUCT($K$58:X$58,$K6:X6)&lt;0.5, "Pending", IF(X6&lt;0.5, "Complete", "In Progress"))</f>
        <v>Pending</v>
      </c>
      <c r="Z6" s="22">
        <v>0</v>
      </c>
      <c r="AA6" s="22">
        <f t="shared" si="17"/>
        <v>2</v>
      </c>
      <c r="AB6" s="23" t="str">
        <f>IF(SUMPRODUCT($K$58:AA$58,$K6:AA6)&lt;0.5, "Pending", IF(AA6&lt;0.5, "Complete", "In Progress"))</f>
        <v>Pending</v>
      </c>
      <c r="AC6" s="22">
        <v>0</v>
      </c>
      <c r="AD6" s="22">
        <f t="shared" si="18"/>
        <v>2</v>
      </c>
      <c r="AE6" s="23" t="str">
        <f>IF(SUMPRODUCT($K$58:AD$58,$K6:AD6)&lt;0.5, "Pending", IF(AD6&lt;0.5, "Complete", "In Progress"))</f>
        <v>Pending</v>
      </c>
      <c r="AF6" s="22">
        <v>0</v>
      </c>
      <c r="AG6" s="22">
        <f t="shared" si="19"/>
        <v>2</v>
      </c>
      <c r="AH6" s="23" t="str">
        <f>IF(SUMPRODUCT($K$58:AG$58,$K6:AG6)&lt;0.5, "Pending", IF(AG6&lt;0.5, "Complete", "In Progress"))</f>
        <v>Pending</v>
      </c>
      <c r="AI6" s="22">
        <v>0</v>
      </c>
      <c r="AJ6" s="22">
        <f t="shared" si="20"/>
        <v>2</v>
      </c>
      <c r="AK6" s="23" t="str">
        <f>IF(SUMPRODUCT($K$58:AJ$58,$K6:AJ6)&lt;0.5, "Pending", IF(AJ6&lt;0.5, "Complete", "In Progress"))</f>
        <v>Pending</v>
      </c>
      <c r="AL6" s="22">
        <v>0</v>
      </c>
      <c r="AM6" s="22">
        <f t="shared" si="21"/>
        <v>2</v>
      </c>
      <c r="AN6" s="23" t="str">
        <f>IF(SUMPRODUCT($K$58:AM$58,$K6:AM6)&lt;0.5, "Pending", IF(AM6&lt;0.5, "Complete", "In Progress"))</f>
        <v>Pending</v>
      </c>
      <c r="AO6" s="22">
        <v>0</v>
      </c>
      <c r="AP6" s="22">
        <f t="shared" si="22"/>
        <v>2</v>
      </c>
      <c r="AQ6" s="23" t="str">
        <f>IF(SUMPRODUCT($K$58:AP$58,$K6:AP6)&lt;0.5, "Pending", IF(AP6&lt;0.5, "Complete", "In Progress"))</f>
        <v>Pending</v>
      </c>
      <c r="AR6" s="22">
        <v>0</v>
      </c>
      <c r="AS6" s="22">
        <f t="shared" si="23"/>
        <v>2</v>
      </c>
      <c r="AT6" s="23" t="str">
        <f>IF(SUMPRODUCT($K$58:AS$58,$K6:AS6)&lt;0.5, "Pending", IF(AS6&lt;0.5, "Complete", "In Progress"))</f>
        <v>Pending</v>
      </c>
      <c r="AU6" s="22">
        <v>0</v>
      </c>
      <c r="AV6" s="22">
        <f t="shared" si="24"/>
        <v>2</v>
      </c>
      <c r="AW6" s="23" t="str">
        <f>IF(SUMPRODUCT($K$58:AV$58,$K6:AV6)&lt;0.5, "Pending", IF(AV6&lt;0.5, "Complete", "In Progress"))</f>
        <v>Pending</v>
      </c>
      <c r="AX6" s="22">
        <v>0</v>
      </c>
      <c r="AY6" s="22">
        <f t="shared" si="25"/>
        <v>2</v>
      </c>
      <c r="AZ6" s="23" t="str">
        <f>IF(SUMPRODUCT($K$58:AY$58,$K6:AY6)&lt;0.5, "Pending", IF(AY6&lt;0.5, "Complete", "In Progress"))</f>
        <v>Pending</v>
      </c>
      <c r="BA6" s="22">
        <v>0</v>
      </c>
      <c r="BB6" s="22">
        <f t="shared" si="26"/>
        <v>2</v>
      </c>
      <c r="BC6" s="23" t="str">
        <f>IF(SUMPRODUCT($K$58:BB$58,$K6:BB6)&lt;0.5, "Pending", IF(BB6&lt;0.5, "Complete", "In Progress"))</f>
        <v>Pending</v>
      </c>
      <c r="BD6" s="22">
        <v>0</v>
      </c>
      <c r="BE6" s="22">
        <f t="shared" si="27"/>
        <v>2</v>
      </c>
      <c r="BF6" s="23" t="str">
        <f>IF(SUMPRODUCT($K$58:BE$58,$K6:BE6)&lt;0.5, "Pending", IF(BE6&lt;0.5, "Complete", "In Progress"))</f>
        <v>Pending</v>
      </c>
      <c r="BG6" s="22">
        <v>0</v>
      </c>
      <c r="BH6" s="22">
        <f t="shared" si="28"/>
        <v>2</v>
      </c>
      <c r="BI6" s="23" t="str">
        <f>IF(SUMPRODUCT($K$58:BH$58,$K6:BH6)&lt;0.5, "Pending", IF(BH6&lt;0.5, "Complete", "In Progress"))</f>
        <v>Pending</v>
      </c>
      <c r="BJ6" s="22">
        <v>0</v>
      </c>
      <c r="BK6" s="22">
        <f t="shared" si="29"/>
        <v>2</v>
      </c>
      <c r="BL6" s="23" t="str">
        <f>IF(SUMPRODUCT($K$58:BK$58,$K6:BK6)&lt;0.5, "Pending", IF(BK6&lt;0.5, "Complete", "In Progress"))</f>
        <v>Pending</v>
      </c>
      <c r="BM6" s="22">
        <v>0</v>
      </c>
      <c r="BN6" s="22">
        <f t="shared" si="30"/>
        <v>2</v>
      </c>
      <c r="BO6" s="23" t="str">
        <f>IF(SUMPRODUCT($K$58:BN$58,$K6:BN6)&lt;0.5, "Pending", IF(BN6&lt;0.5, "Complete", "In Progress"))</f>
        <v>Pending</v>
      </c>
      <c r="BP6" s="22">
        <v>0</v>
      </c>
      <c r="BQ6" s="22">
        <f t="shared" si="31"/>
        <v>2</v>
      </c>
      <c r="BR6" s="23" t="str">
        <f>IF(SUMPRODUCT($K$58:BQ$58,$K6:BQ6)&lt;0.5, "Pending", IF(BQ6&lt;0.5, "Complete", "In Progress"))</f>
        <v>Pending</v>
      </c>
      <c r="BS6" s="22">
        <v>0</v>
      </c>
      <c r="BT6" s="22">
        <f t="shared" si="32"/>
        <v>2</v>
      </c>
      <c r="BU6" s="23" t="str">
        <f>IF(SUMPRODUCT($K$58:BT$58,$K6:BT6)&lt;0.5, "Pending", IF(BT6&lt;0.5, "Complete", "In Progress"))</f>
        <v>Pending</v>
      </c>
      <c r="BV6" s="22">
        <v>0</v>
      </c>
      <c r="BW6" s="22">
        <f t="shared" si="33"/>
        <v>2</v>
      </c>
      <c r="BX6" s="23" t="str">
        <f>IF(SUMPRODUCT($K$58:BW$58,$K6:BW6)&lt;0.5, "Pending", IF(BW6&lt;0.5, "Complete", "In Progress"))</f>
        <v>Pending</v>
      </c>
      <c r="BY6" s="22">
        <v>0</v>
      </c>
      <c r="BZ6" s="22">
        <f t="shared" si="34"/>
        <v>2</v>
      </c>
      <c r="CA6" s="23" t="str">
        <f>IF(SUMPRODUCT($K$58:BZ$58,$K6:BZ6)&lt;0.5, "Pending", IF(BZ6&lt;0.5, "Complete", "In Progress"))</f>
        <v>Pending</v>
      </c>
      <c r="CB6" s="22">
        <v>0</v>
      </c>
      <c r="CC6" s="22">
        <f t="shared" si="35"/>
        <v>2</v>
      </c>
      <c r="CD6" s="23" t="str">
        <f>IF(SUMPRODUCT($K$58:CC$58,$K6:CC6)&lt;0.5, "Pending", IF(CC6&lt;0.5, "Complete", "In Progress"))</f>
        <v>Pending</v>
      </c>
      <c r="CE6" s="22">
        <v>0</v>
      </c>
      <c r="CF6" s="22">
        <f t="shared" si="36"/>
        <v>2</v>
      </c>
      <c r="CG6" s="23" t="str">
        <f>IF(SUMPRODUCT($K$58:CF$58,$K6:CF6)&lt;0.5, "Pending", IF(CF6&lt;0.5, "Complete", "In Progress"))</f>
        <v>Pending</v>
      </c>
      <c r="CH6" s="22">
        <v>0</v>
      </c>
      <c r="CI6" s="22">
        <f t="shared" si="37"/>
        <v>2</v>
      </c>
      <c r="CJ6" s="23" t="str">
        <f>IF(SUMPRODUCT($K$58:CI$58,$K6:CI6)&lt;0.5, "Pending", IF(CI6&lt;0.5, "Complete", "In Progress"))</f>
        <v>Pending</v>
      </c>
      <c r="CK6" s="22">
        <v>0</v>
      </c>
      <c r="CL6" s="22">
        <f t="shared" si="38"/>
        <v>2</v>
      </c>
      <c r="CM6" s="23" t="str">
        <f>IF(SUMPRODUCT($K$58:CL$58,$K6:CL6)&lt;0.5, "Pending", IF(CL6&lt;0.5, "Complete", "In Progress"))</f>
        <v>Pending</v>
      </c>
      <c r="CN6" s="22">
        <v>0</v>
      </c>
      <c r="CO6" s="22">
        <f t="shared" si="39"/>
        <v>2</v>
      </c>
      <c r="CP6" s="23" t="str">
        <f>IF(SUMPRODUCT($K$58:CO$58,$K6:CO6)&lt;0.5, "Pending", IF(CO6&lt;0.5, "Complete", "In Progress"))</f>
        <v>Pending</v>
      </c>
      <c r="CQ6" s="22">
        <v>0</v>
      </c>
      <c r="CR6" s="22">
        <f t="shared" si="40"/>
        <v>2</v>
      </c>
      <c r="CS6" s="23" t="str">
        <f>IF(SUMPRODUCT($K$58:CR$58,$K6:CR6)&lt;0.5, "Pending", IF(CR6&lt;0.5, "Complete", "In Progress"))</f>
        <v>Pending</v>
      </c>
      <c r="CT6" s="22">
        <v>0</v>
      </c>
      <c r="CU6" s="22">
        <f t="shared" si="41"/>
        <v>2</v>
      </c>
      <c r="CV6" s="23" t="str">
        <f>IF(SUMPRODUCT($K$58:CU$58,$K6:CU6)&lt;0.5, "Pending", IF(CU6&lt;0.5, "Complete", "In Progress"))</f>
        <v>Pending</v>
      </c>
      <c r="CW6" s="22">
        <v>0</v>
      </c>
      <c r="CX6" s="22">
        <f t="shared" si="2"/>
        <v>2</v>
      </c>
      <c r="CY6" s="23" t="str">
        <f>IF(SUMPRODUCT($K$58:CX$58,$K6:CX6)&lt;0.5, "Pending", IF(CX6&lt;0.5, "Complete", "In Progress"))</f>
        <v>Pending</v>
      </c>
      <c r="CZ6" s="22">
        <v>0</v>
      </c>
      <c r="DA6" s="22">
        <f t="shared" si="3"/>
        <v>2</v>
      </c>
      <c r="DB6" s="23" t="str">
        <f>IF(SUMPRODUCT($K$58:DA$58,$K6:DA6)&lt;0.5, "Pending", IF(DA6&lt;0.5, "Complete", "In Progress"))</f>
        <v>Pending</v>
      </c>
      <c r="DC6" s="22">
        <v>0</v>
      </c>
      <c r="DD6" s="22">
        <f t="shared" si="4"/>
        <v>2</v>
      </c>
      <c r="DE6" s="23" t="str">
        <f>IF(SUMPRODUCT($K$58:DD$58,$K6:DD6)&lt;0.5, "Pending", IF(DD6&lt;0.5, "Complete", "In Progress"))</f>
        <v>Pending</v>
      </c>
      <c r="DF6" s="22">
        <v>0</v>
      </c>
      <c r="DG6" s="22">
        <f t="shared" si="5"/>
        <v>2</v>
      </c>
      <c r="DH6" s="23" t="str">
        <f>IF(SUMPRODUCT($K$58:DG$58,$K6:DG6)&lt;0.5, "Pending", IF(DG6&lt;0.5, "Complete", "In Progress"))</f>
        <v>Pending</v>
      </c>
      <c r="DI6" s="22">
        <v>0</v>
      </c>
      <c r="DJ6" s="22">
        <f t="shared" si="6"/>
        <v>2</v>
      </c>
      <c r="DK6" s="23" t="str">
        <f>IF(SUMPRODUCT($K$58:DJ$58,$K6:DJ6)&lt;0.5, "Pending", IF(DJ6&lt;0.5, "Complete", "In Progress"))</f>
        <v>Pending</v>
      </c>
      <c r="DL6" s="22">
        <v>0</v>
      </c>
      <c r="DM6" s="22">
        <f t="shared" si="7"/>
        <v>2</v>
      </c>
      <c r="DN6" s="23" t="str">
        <f>IF(SUMPRODUCT($K$58:DM$58,$K6:DM6)&lt;0.5, "Pending", IF(DM6&lt;0.5, "Complete", "In Progress"))</f>
        <v>Pending</v>
      </c>
      <c r="DO6" s="22">
        <v>0</v>
      </c>
      <c r="DP6" s="22">
        <f t="shared" si="8"/>
        <v>2</v>
      </c>
      <c r="DQ6" s="23" t="str">
        <f>IF(SUMPRODUCT($K$58:DP$58,$K6:DP6)&lt;0.5, "Pending", IF(DP6&lt;0.5, "Complete", "In Progress"))</f>
        <v>Pending</v>
      </c>
      <c r="DR6" s="22">
        <v>0</v>
      </c>
      <c r="DS6" s="22">
        <f t="shared" si="9"/>
        <v>2</v>
      </c>
      <c r="DT6" s="23" t="str">
        <f>IF(SUMPRODUCT($K$58:DS$58,$K6:DS6)&lt;0.5, "Pending", IF(DS6&lt;0.5, "Complete", "In Progress"))</f>
        <v>Pending</v>
      </c>
      <c r="DU6" s="22">
        <v>0</v>
      </c>
      <c r="DV6" s="22">
        <f t="shared" si="10"/>
        <v>2</v>
      </c>
      <c r="DW6" s="23" t="str">
        <f>IF(SUMPRODUCT($K$58:DV$58,$K6:DV6)&lt;0.5, "Pending", IF(DV6&lt;0.5, "Complete", "In Progress"))</f>
        <v>Pending</v>
      </c>
      <c r="DX6" s="22">
        <v>0</v>
      </c>
      <c r="DY6" s="22">
        <f t="shared" si="11"/>
        <v>2</v>
      </c>
      <c r="DZ6" s="23" t="str">
        <f>IF(SUMPRODUCT($K$58:DY$58,$K6:DY6)&lt;0.5, "Pending", IF(DY6&lt;0.5, "Complete", "In Progress"))</f>
        <v>Pending</v>
      </c>
      <c r="EA6" s="24"/>
      <c r="EB6" s="25">
        <f>SUMPRODUCT($I$58:DH$58,$I6:DH6)</f>
        <v>0</v>
      </c>
    </row>
    <row r="7" spans="1:132" x14ac:dyDescent="0.25">
      <c r="A7" s="16"/>
      <c r="B7" s="17"/>
      <c r="C7" s="186"/>
      <c r="D7" s="170"/>
      <c r="E7" s="170"/>
      <c r="F7" s="18"/>
      <c r="G7" s="19" t="str">
        <f t="shared" ca="1" si="0"/>
        <v>Pending</v>
      </c>
      <c r="H7" s="21"/>
      <c r="I7" s="21">
        <f t="shared" si="1"/>
        <v>2</v>
      </c>
      <c r="J7" s="195">
        <v>2</v>
      </c>
      <c r="K7" s="22">
        <v>0</v>
      </c>
      <c r="L7" s="22">
        <f t="shared" si="12"/>
        <v>2</v>
      </c>
      <c r="M7" s="23" t="str">
        <f>IF(SUMPRODUCT($K$58:L$58,$K7:L7)&lt;0.5, "Pending", IF(L7&lt;0.5, "Complete", "In Progress"))</f>
        <v>Pending</v>
      </c>
      <c r="N7" s="22">
        <v>0</v>
      </c>
      <c r="O7" s="22">
        <f t="shared" si="13"/>
        <v>2</v>
      </c>
      <c r="P7" s="23" t="str">
        <f>IF(SUMPRODUCT($K$58:O$58,$K7:O7)&lt;0.5, "Pending", IF(O7&lt;0.5, "Complete", "In Progress"))</f>
        <v>Pending</v>
      </c>
      <c r="Q7" s="22">
        <v>0</v>
      </c>
      <c r="R7" s="22">
        <f t="shared" si="14"/>
        <v>2</v>
      </c>
      <c r="S7" s="23" t="str">
        <f>IF(SUMPRODUCT($K$58:R$58,$K7:R7)&lt;0.5, "Pending", IF(R7&lt;0.5, "Complete", "In Progress"))</f>
        <v>Pending</v>
      </c>
      <c r="T7" s="22">
        <v>0</v>
      </c>
      <c r="U7" s="22">
        <f t="shared" si="15"/>
        <v>2</v>
      </c>
      <c r="V7" s="23" t="str">
        <f>IF(SUMPRODUCT($K$58:U$58,$K7:U7)&lt;0.5, "Pending", IF(U7&lt;0.5, "Complete", "In Progress"))</f>
        <v>Pending</v>
      </c>
      <c r="W7" s="22">
        <v>0</v>
      </c>
      <c r="X7" s="22">
        <f t="shared" si="16"/>
        <v>2</v>
      </c>
      <c r="Y7" s="23" t="str">
        <f>IF(SUMPRODUCT($K$58:X$58,$K7:X7)&lt;0.5, "Pending", IF(X7&lt;0.5, "Complete", "In Progress"))</f>
        <v>Pending</v>
      </c>
      <c r="Z7" s="22">
        <v>0</v>
      </c>
      <c r="AA7" s="22">
        <f t="shared" si="17"/>
        <v>2</v>
      </c>
      <c r="AB7" s="23" t="str">
        <f>IF(SUMPRODUCT($K$58:AA$58,$K7:AA7)&lt;0.5, "Pending", IF(AA7&lt;0.5, "Complete", "In Progress"))</f>
        <v>Pending</v>
      </c>
      <c r="AC7" s="22">
        <v>0</v>
      </c>
      <c r="AD7" s="22">
        <f t="shared" si="18"/>
        <v>2</v>
      </c>
      <c r="AE7" s="23" t="str">
        <f>IF(SUMPRODUCT($K$58:AD$58,$K7:AD7)&lt;0.5, "Pending", IF(AD7&lt;0.5, "Complete", "In Progress"))</f>
        <v>Pending</v>
      </c>
      <c r="AF7" s="22">
        <v>0</v>
      </c>
      <c r="AG7" s="22">
        <f t="shared" si="19"/>
        <v>2</v>
      </c>
      <c r="AH7" s="23" t="str">
        <f>IF(SUMPRODUCT($K$58:AG$58,$K7:AG7)&lt;0.5, "Pending", IF(AG7&lt;0.5, "Complete", "In Progress"))</f>
        <v>Pending</v>
      </c>
      <c r="AI7" s="22">
        <v>0</v>
      </c>
      <c r="AJ7" s="22">
        <f t="shared" si="20"/>
        <v>2</v>
      </c>
      <c r="AK7" s="23" t="str">
        <f>IF(SUMPRODUCT($K$58:AJ$58,$K7:AJ7)&lt;0.5, "Pending", IF(AJ7&lt;0.5, "Complete", "In Progress"))</f>
        <v>Pending</v>
      </c>
      <c r="AL7" s="22">
        <v>0</v>
      </c>
      <c r="AM7" s="22">
        <f t="shared" si="21"/>
        <v>2</v>
      </c>
      <c r="AN7" s="23" t="str">
        <f>IF(SUMPRODUCT($K$58:AM$58,$K7:AM7)&lt;0.5, "Pending", IF(AM7&lt;0.5, "Complete", "In Progress"))</f>
        <v>Pending</v>
      </c>
      <c r="AO7" s="22">
        <v>0</v>
      </c>
      <c r="AP7" s="22">
        <f t="shared" si="22"/>
        <v>2</v>
      </c>
      <c r="AQ7" s="23" t="str">
        <f>IF(SUMPRODUCT($K$58:AP$58,$K7:AP7)&lt;0.5, "Pending", IF(AP7&lt;0.5, "Complete", "In Progress"))</f>
        <v>Pending</v>
      </c>
      <c r="AR7" s="22">
        <v>0</v>
      </c>
      <c r="AS7" s="22">
        <f t="shared" si="23"/>
        <v>2</v>
      </c>
      <c r="AT7" s="23" t="str">
        <f>IF(SUMPRODUCT($K$58:AS$58,$K7:AS7)&lt;0.5, "Pending", IF(AS7&lt;0.5, "Complete", "In Progress"))</f>
        <v>Pending</v>
      </c>
      <c r="AU7" s="22">
        <v>0</v>
      </c>
      <c r="AV7" s="22">
        <f t="shared" si="24"/>
        <v>2</v>
      </c>
      <c r="AW7" s="23" t="str">
        <f>IF(SUMPRODUCT($K$58:AV$58,$K7:AV7)&lt;0.5, "Pending", IF(AV7&lt;0.5, "Complete", "In Progress"))</f>
        <v>Pending</v>
      </c>
      <c r="AX7" s="22">
        <v>0</v>
      </c>
      <c r="AY7" s="22">
        <f t="shared" si="25"/>
        <v>2</v>
      </c>
      <c r="AZ7" s="23" t="str">
        <f>IF(SUMPRODUCT($K$58:AY$58,$K7:AY7)&lt;0.5, "Pending", IF(AY7&lt;0.5, "Complete", "In Progress"))</f>
        <v>Pending</v>
      </c>
      <c r="BA7" s="22">
        <v>0</v>
      </c>
      <c r="BB7" s="22">
        <f t="shared" si="26"/>
        <v>2</v>
      </c>
      <c r="BC7" s="23" t="str">
        <f>IF(SUMPRODUCT($K$58:BB$58,$K7:BB7)&lt;0.5, "Pending", IF(BB7&lt;0.5, "Complete", "In Progress"))</f>
        <v>Pending</v>
      </c>
      <c r="BD7" s="22">
        <v>0</v>
      </c>
      <c r="BE7" s="22">
        <f t="shared" si="27"/>
        <v>2</v>
      </c>
      <c r="BF7" s="23" t="str">
        <f>IF(SUMPRODUCT($K$58:BE$58,$K7:BE7)&lt;0.5, "Pending", IF(BE7&lt;0.5, "Complete", "In Progress"))</f>
        <v>Pending</v>
      </c>
      <c r="BG7" s="22">
        <v>0</v>
      </c>
      <c r="BH7" s="22">
        <f t="shared" si="28"/>
        <v>2</v>
      </c>
      <c r="BI7" s="23" t="str">
        <f>IF(SUMPRODUCT($K$58:BH$58,$K7:BH7)&lt;0.5, "Pending", IF(BH7&lt;0.5, "Complete", "In Progress"))</f>
        <v>Pending</v>
      </c>
      <c r="BJ7" s="22">
        <v>0</v>
      </c>
      <c r="BK7" s="22">
        <f t="shared" si="29"/>
        <v>2</v>
      </c>
      <c r="BL7" s="23" t="str">
        <f>IF(SUMPRODUCT($K$58:BK$58,$K7:BK7)&lt;0.5, "Pending", IF(BK7&lt;0.5, "Complete", "In Progress"))</f>
        <v>Pending</v>
      </c>
      <c r="BM7" s="22">
        <v>0</v>
      </c>
      <c r="BN7" s="22">
        <f t="shared" si="30"/>
        <v>2</v>
      </c>
      <c r="BO7" s="23" t="str">
        <f>IF(SUMPRODUCT($K$58:BN$58,$K7:BN7)&lt;0.5, "Pending", IF(BN7&lt;0.5, "Complete", "In Progress"))</f>
        <v>Pending</v>
      </c>
      <c r="BP7" s="22">
        <v>0</v>
      </c>
      <c r="BQ7" s="22">
        <f t="shared" si="31"/>
        <v>2</v>
      </c>
      <c r="BR7" s="23" t="str">
        <f>IF(SUMPRODUCT($K$58:BQ$58,$K7:BQ7)&lt;0.5, "Pending", IF(BQ7&lt;0.5, "Complete", "In Progress"))</f>
        <v>Pending</v>
      </c>
      <c r="BS7" s="22">
        <v>0</v>
      </c>
      <c r="BT7" s="22">
        <f t="shared" si="32"/>
        <v>2</v>
      </c>
      <c r="BU7" s="23" t="str">
        <f>IF(SUMPRODUCT($K$58:BT$58,$K7:BT7)&lt;0.5, "Pending", IF(BT7&lt;0.5, "Complete", "In Progress"))</f>
        <v>Pending</v>
      </c>
      <c r="BV7" s="22">
        <v>0</v>
      </c>
      <c r="BW7" s="22">
        <f t="shared" si="33"/>
        <v>2</v>
      </c>
      <c r="BX7" s="23" t="str">
        <f>IF(SUMPRODUCT($K$58:BW$58,$K7:BW7)&lt;0.5, "Pending", IF(BW7&lt;0.5, "Complete", "In Progress"))</f>
        <v>Pending</v>
      </c>
      <c r="BY7" s="22">
        <v>0</v>
      </c>
      <c r="BZ7" s="22">
        <f t="shared" si="34"/>
        <v>2</v>
      </c>
      <c r="CA7" s="23" t="str">
        <f>IF(SUMPRODUCT($K$58:BZ$58,$K7:BZ7)&lt;0.5, "Pending", IF(BZ7&lt;0.5, "Complete", "In Progress"))</f>
        <v>Pending</v>
      </c>
      <c r="CB7" s="22">
        <v>0</v>
      </c>
      <c r="CC7" s="22">
        <f t="shared" si="35"/>
        <v>2</v>
      </c>
      <c r="CD7" s="23" t="str">
        <f>IF(SUMPRODUCT($K$58:CC$58,$K7:CC7)&lt;0.5, "Pending", IF(CC7&lt;0.5, "Complete", "In Progress"))</f>
        <v>Pending</v>
      </c>
      <c r="CE7" s="22">
        <v>0</v>
      </c>
      <c r="CF7" s="22">
        <f t="shared" si="36"/>
        <v>2</v>
      </c>
      <c r="CG7" s="23" t="str">
        <f>IF(SUMPRODUCT($K$58:CF$58,$K7:CF7)&lt;0.5, "Pending", IF(CF7&lt;0.5, "Complete", "In Progress"))</f>
        <v>Pending</v>
      </c>
      <c r="CH7" s="22">
        <v>0</v>
      </c>
      <c r="CI7" s="22">
        <f t="shared" si="37"/>
        <v>2</v>
      </c>
      <c r="CJ7" s="23" t="str">
        <f>IF(SUMPRODUCT($K$58:CI$58,$K7:CI7)&lt;0.5, "Pending", IF(CI7&lt;0.5, "Complete", "In Progress"))</f>
        <v>Pending</v>
      </c>
      <c r="CK7" s="22">
        <v>0</v>
      </c>
      <c r="CL7" s="22">
        <f t="shared" si="38"/>
        <v>2</v>
      </c>
      <c r="CM7" s="23" t="str">
        <f>IF(SUMPRODUCT($K$58:CL$58,$K7:CL7)&lt;0.5, "Pending", IF(CL7&lt;0.5, "Complete", "In Progress"))</f>
        <v>Pending</v>
      </c>
      <c r="CN7" s="22">
        <v>0</v>
      </c>
      <c r="CO7" s="22">
        <f t="shared" si="39"/>
        <v>2</v>
      </c>
      <c r="CP7" s="23" t="str">
        <f>IF(SUMPRODUCT($K$58:CO$58,$K7:CO7)&lt;0.5, "Pending", IF(CO7&lt;0.5, "Complete", "In Progress"))</f>
        <v>Pending</v>
      </c>
      <c r="CQ7" s="22">
        <v>0</v>
      </c>
      <c r="CR7" s="22">
        <f t="shared" si="40"/>
        <v>2</v>
      </c>
      <c r="CS7" s="23" t="str">
        <f>IF(SUMPRODUCT($K$58:CR$58,$K7:CR7)&lt;0.5, "Pending", IF(CR7&lt;0.5, "Complete", "In Progress"))</f>
        <v>Pending</v>
      </c>
      <c r="CT7" s="22">
        <v>0</v>
      </c>
      <c r="CU7" s="22">
        <f t="shared" si="41"/>
        <v>2</v>
      </c>
      <c r="CV7" s="23" t="str">
        <f>IF(SUMPRODUCT($K$58:CU$58,$K7:CU7)&lt;0.5, "Pending", IF(CU7&lt;0.5, "Complete", "In Progress"))</f>
        <v>Pending</v>
      </c>
      <c r="CW7" s="22">
        <v>0</v>
      </c>
      <c r="CX7" s="22">
        <f t="shared" si="2"/>
        <v>2</v>
      </c>
      <c r="CY7" s="23" t="str">
        <f>IF(SUMPRODUCT($K$58:CX$58,$K7:CX7)&lt;0.5, "Pending", IF(CX7&lt;0.5, "Complete", "In Progress"))</f>
        <v>Pending</v>
      </c>
      <c r="CZ7" s="22">
        <v>0</v>
      </c>
      <c r="DA7" s="22">
        <f t="shared" si="3"/>
        <v>2</v>
      </c>
      <c r="DB7" s="23" t="str">
        <f>IF(SUMPRODUCT($K$58:DA$58,$K7:DA7)&lt;0.5, "Pending", IF(DA7&lt;0.5, "Complete", "In Progress"))</f>
        <v>Pending</v>
      </c>
      <c r="DC7" s="22">
        <v>0</v>
      </c>
      <c r="DD7" s="22">
        <f t="shared" si="4"/>
        <v>2</v>
      </c>
      <c r="DE7" s="23" t="str">
        <f>IF(SUMPRODUCT($K$58:DD$58,$K7:DD7)&lt;0.5, "Pending", IF(DD7&lt;0.5, "Complete", "In Progress"))</f>
        <v>Pending</v>
      </c>
      <c r="DF7" s="22">
        <v>0</v>
      </c>
      <c r="DG7" s="22">
        <f t="shared" si="5"/>
        <v>2</v>
      </c>
      <c r="DH7" s="23" t="str">
        <f>IF(SUMPRODUCT($K$58:DG$58,$K7:DG7)&lt;0.5, "Pending", IF(DG7&lt;0.5, "Complete", "In Progress"))</f>
        <v>Pending</v>
      </c>
      <c r="DI7" s="22">
        <v>0</v>
      </c>
      <c r="DJ7" s="22">
        <f t="shared" si="6"/>
        <v>2</v>
      </c>
      <c r="DK7" s="23" t="str">
        <f>IF(SUMPRODUCT($K$58:DJ$58,$K7:DJ7)&lt;0.5, "Pending", IF(DJ7&lt;0.5, "Complete", "In Progress"))</f>
        <v>Pending</v>
      </c>
      <c r="DL7" s="22">
        <v>0</v>
      </c>
      <c r="DM7" s="22">
        <f t="shared" si="7"/>
        <v>2</v>
      </c>
      <c r="DN7" s="23" t="str">
        <f>IF(SUMPRODUCT($K$58:DM$58,$K7:DM7)&lt;0.5, "Pending", IF(DM7&lt;0.5, "Complete", "In Progress"))</f>
        <v>Pending</v>
      </c>
      <c r="DO7" s="22">
        <v>0</v>
      </c>
      <c r="DP7" s="22">
        <f t="shared" si="8"/>
        <v>2</v>
      </c>
      <c r="DQ7" s="23" t="str">
        <f>IF(SUMPRODUCT($K$58:DP$58,$K7:DP7)&lt;0.5, "Pending", IF(DP7&lt;0.5, "Complete", "In Progress"))</f>
        <v>Pending</v>
      </c>
      <c r="DR7" s="22">
        <v>0</v>
      </c>
      <c r="DS7" s="22">
        <f t="shared" si="9"/>
        <v>2</v>
      </c>
      <c r="DT7" s="23" t="str">
        <f>IF(SUMPRODUCT($K$58:DS$58,$K7:DS7)&lt;0.5, "Pending", IF(DS7&lt;0.5, "Complete", "In Progress"))</f>
        <v>Pending</v>
      </c>
      <c r="DU7" s="22">
        <v>0</v>
      </c>
      <c r="DV7" s="22">
        <f t="shared" si="10"/>
        <v>2</v>
      </c>
      <c r="DW7" s="23" t="str">
        <f>IF(SUMPRODUCT($K$58:DV$58,$K7:DV7)&lt;0.5, "Pending", IF(DV7&lt;0.5, "Complete", "In Progress"))</f>
        <v>Pending</v>
      </c>
      <c r="DX7" s="22">
        <v>0</v>
      </c>
      <c r="DY7" s="22">
        <f t="shared" si="11"/>
        <v>2</v>
      </c>
      <c r="DZ7" s="23" t="str">
        <f>IF(SUMPRODUCT($K$58:DY$58,$K7:DY7)&lt;0.5, "Pending", IF(DY7&lt;0.5, "Complete", "In Progress"))</f>
        <v>Pending</v>
      </c>
      <c r="EA7" s="24"/>
      <c r="EB7" s="25">
        <f>SUMPRODUCT($I$58:DH$58,$I7:DH7)</f>
        <v>0</v>
      </c>
    </row>
    <row r="8" spans="1:132" ht="12.75" customHeight="1" x14ac:dyDescent="0.25">
      <c r="A8" s="16"/>
      <c r="B8" s="17"/>
      <c r="C8" s="186"/>
      <c r="D8" s="170"/>
      <c r="E8" s="170"/>
      <c r="F8" s="18"/>
      <c r="G8" s="19" t="str">
        <f t="shared" ca="1" si="0"/>
        <v>Pending</v>
      </c>
      <c r="H8" s="21"/>
      <c r="I8" s="21">
        <f t="shared" si="1"/>
        <v>0</v>
      </c>
      <c r="J8" s="195">
        <v>0</v>
      </c>
      <c r="K8" s="22">
        <v>0</v>
      </c>
      <c r="L8" s="22">
        <f t="shared" si="12"/>
        <v>0</v>
      </c>
      <c r="M8" s="23" t="str">
        <f>IF(SUMPRODUCT($K$58:L$58,$K8:L8)&lt;0.5,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IF(SUMPRODUCT($K$58:O$58,$K8:O8)&lt;0.5,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IF(SUMPRODUCT($K$58:R$58,$K8:R8)&lt;0.5,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IF(SUMPRODUCT($K$58:U$58,$K8:U8)&lt;0.5,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IF(SUMPRODUCT($K$58:X$58,$K8:X8)&lt;0.5,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IF(SUMPRODUCT($K$58:AA$58,$K8:AA8)&lt;0.5,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IF(SUMPRODUCT($K$58:AD$58,$K8:AD8)&lt;0.5,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IF(SUMPRODUCT($K$58:AG$58,$K8:AG8)&lt;0.5,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IF(SUMPRODUCT($K$58:AJ$58,$K8:AJ8)&lt;0.5,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IF(SUMPRODUCT($K$58:AM$58,$K8:AM8)&lt;0.5,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IF(SUMPRODUCT($K$58:AP$58,$K8:AP8)&lt;0.5,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IF(SUMPRODUCT($K$58:AS$58,$K8:AS8)&lt;0.5,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IF(SUMPRODUCT($K$58:AV$58,$K8:AV8)&lt;0.5,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IF(SUMPRODUCT($K$58:AY$58,$K8:AY8)&lt;0.5,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IF(SUMPRODUCT($K$58:BB$58,$K8:BB8)&lt;0.5,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IF(SUMPRODUCT($K$58:BE$58,$K8:BE8)&lt;0.5,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IF(SUMPRODUCT($K$58:BH$58,$K8:BH8)&lt;0.5,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IF(SUMPRODUCT($K$58:BK$58,$K8:BK8)&lt;0.5,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IF(SUMPRODUCT($K$58:BN$58,$K8:BN8)&lt;0.5,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IF(SUMPRODUCT($K$58:BQ$58,$K8:BQ8)&lt;0.5,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IF(SUMPRODUCT($K$58:BT$58,$K8:BT8)&lt;0.5,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IF(SUMPRODUCT($K$58:BW$58,$K8:BW8)&lt;0.5,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IF(SUMPRODUCT($K$58:BZ$58,$K8:BZ8)&lt;0.5,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IF(SUMPRODUCT($K$58:CC$58,$K8:CC8)&lt;0.5,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IF(SUMPRODUCT($K$58:CF$58,$K8:CF8)&lt;0.5,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IF(SUMPRODUCT($K$58:CI$58,$K8:CI8)&lt;0.5,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IF(SUMPRODUCT($K$58:CL$58,$K8:CL8)&lt;0.5,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IF(SUMPRODUCT($K$58:CO$58,$K8:CO8)&lt;0.5,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IF(SUMPRODUCT($K$58:CR$58,$K8:CR8)&lt;0.5, "Pending", IF(CR8&lt;0.5, "Complete", "In Progress"))</f>
        <v>Pending</v>
      </c>
      <c r="CT8" s="22">
        <v>0</v>
      </c>
      <c r="CU8" s="22">
        <f t="shared" si="41"/>
        <v>0</v>
      </c>
      <c r="CV8" s="23" t="str">
        <f>IF(SUMPRODUCT($K$58:CU$58,$K8:CU8)&lt;0.5,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IF(SUMPRODUCT($K$58:CX$58,$K8:CX8)&lt;0.5,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IF(SUMPRODUCT($K$58:DA$58,$K8:DA8)&lt;0.5,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IF(SUMPRODUCT($K$58:DD$58,$K8:DD8)&lt;0.5,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IF(SUMPRODUCT($K$58:DG$58,$K8:DG8)&lt;0.5,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IF(SUMPRODUCT($K$58:DJ$58,$K8:DJ8)&lt;0.5,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IF(SUMPRODUCT($K$58:DM$58,$K8:DM8)&lt;0.5,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IF(SUMPRODUCT($K$58:DP$58,$K8:DP8)&lt;0.5,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IF(SUMPRODUCT($K$58:DS$58,$K8:DS8)&lt;0.5,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IF(SUMPRODUCT($K$58:DV$58,$K8:DV8)&lt;0.5, "Pending", IF(DV8&lt;0.5, "Complete", "In Progress"))</f>
        <v>Pending</v>
      </c>
      <c r="DX8" s="22">
        <v>0</v>
      </c>
      <c r="DY8" s="22">
        <f t="shared" si="11"/>
        <v>0</v>
      </c>
      <c r="DZ8" s="23" t="str">
        <f>IF(SUMPRODUCT($K$58:DY$58,$K8:DY8)&lt;0.5, "Pending", IF(DY8&lt;0.5, "Complete", "In Progress"))</f>
        <v>Pending</v>
      </c>
      <c r="EA8" s="24"/>
      <c r="EB8" s="25">
        <f>SUMPRODUCT($I$58:DH$58,$I8:DH8)</f>
        <v>0</v>
      </c>
    </row>
    <row r="9" spans="1:132" ht="12.75" customHeight="1" x14ac:dyDescent="0.25">
      <c r="A9" s="16"/>
      <c r="B9" s="17"/>
      <c r="C9" s="186"/>
      <c r="D9" s="170"/>
      <c r="E9" s="170"/>
      <c r="F9" s="18"/>
      <c r="G9" s="19" t="str">
        <f t="shared" ca="1" si="0"/>
        <v>Pending</v>
      </c>
      <c r="H9" s="21"/>
      <c r="I9" s="21">
        <f t="shared" si="1"/>
        <v>0</v>
      </c>
      <c r="J9" s="195">
        <v>0</v>
      </c>
      <c r="K9" s="22">
        <v>0</v>
      </c>
      <c r="L9" s="22">
        <f t="shared" si="12"/>
        <v>0</v>
      </c>
      <c r="M9" s="23" t="str">
        <f>IF(SUMPRODUCT($K$58:L$58,$K9:L9)&lt;0.5,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IF(SUMPRODUCT($K$58:O$58,$K9:O9)&lt;0.5,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IF(SUMPRODUCT($K$58:R$58,$K9:R9)&lt;0.5,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IF(SUMPRODUCT($K$58:U$58,$K9:U9)&lt;0.5,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IF(SUMPRODUCT($K$58:X$58,$K9:X9)&lt;0.5,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IF(SUMPRODUCT($K$58:AA$58,$K9:AA9)&lt;0.5,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IF(SUMPRODUCT($K$58:AD$58,$K9:AD9)&lt;0.5,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IF(SUMPRODUCT($K$58:AG$58,$K9:AG9)&lt;0.5,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IF(SUMPRODUCT($K$58:AJ$58,$K9:AJ9)&lt;0.5,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IF(SUMPRODUCT($K$58:AM$58,$K9:AM9)&lt;0.5,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IF(SUMPRODUCT($K$58:AP$58,$K9:AP9)&lt;0.5,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IF(SUMPRODUCT($K$58:AS$58,$K9:AS9)&lt;0.5,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IF(SUMPRODUCT($K$58:AV$58,$K9:AV9)&lt;0.5,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IF(SUMPRODUCT($K$58:AY$58,$K9:AY9)&lt;0.5,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IF(SUMPRODUCT($K$58:BB$58,$K9:BB9)&lt;0.5,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IF(SUMPRODUCT($K$58:BE$58,$K9:BE9)&lt;0.5,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IF(SUMPRODUCT($K$58:BH$58,$K9:BH9)&lt;0.5,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IF(SUMPRODUCT($K$58:BK$58,$K9:BK9)&lt;0.5,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IF(SUMPRODUCT($K$58:BN$58,$K9:BN9)&lt;0.5,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IF(SUMPRODUCT($K$58:BQ$58,$K9:BQ9)&lt;0.5,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IF(SUMPRODUCT($K$58:BT$58,$K9:BT9)&lt;0.5,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IF(SUMPRODUCT($K$58:BW$58,$K9:BW9)&lt;0.5,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IF(SUMPRODUCT($K$58:BZ$58,$K9:BZ9)&lt;0.5,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IF(SUMPRODUCT($K$58:CC$58,$K9:CC9)&lt;0.5,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IF(SUMPRODUCT($K$58:CF$58,$K9:CF9)&lt;0.5,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IF(SUMPRODUCT($K$58:CI$58,$K9:CI9)&lt;0.5,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IF(SUMPRODUCT($K$58:CL$58,$K9:CL9)&lt;0.5,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IF(SUMPRODUCT($K$58:CO$58,$K9:CO9)&lt;0.5,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IF(SUMPRODUCT($K$58:CR$58,$K9:CR9)&lt;0.5, "Pending", IF(CR9&lt;0.5, "Complete", "In Progress"))</f>
        <v>Pending</v>
      </c>
      <c r="CT9" s="22">
        <v>0</v>
      </c>
      <c r="CU9" s="22">
        <f t="shared" si="41"/>
        <v>0</v>
      </c>
      <c r="CV9" s="23" t="str">
        <f>IF(SUMPRODUCT($K$58:CU$58,$K9:CU9)&lt;0.5,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IF(SUMPRODUCT($K$58:CX$58,$K9:CX9)&lt;0.5,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IF(SUMPRODUCT($K$58:DA$58,$K9:DA9)&lt;0.5,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IF(SUMPRODUCT($K$58:DD$58,$K9:DD9)&lt;0.5,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IF(SUMPRODUCT($K$58:DG$58,$K9:DG9)&lt;0.5,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IF(SUMPRODUCT($K$58:DJ$58,$K9:DJ9)&lt;0.5,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IF(SUMPRODUCT($K$58:DM$58,$K9:DM9)&lt;0.5,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IF(SUMPRODUCT($K$58:DP$58,$K9:DP9)&lt;0.5,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IF(SUMPRODUCT($K$58:DS$58,$K9:DS9)&lt;0.5,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IF(SUMPRODUCT($K$58:DV$58,$K9:DV9)&lt;0.5, "Pending", IF(DV9&lt;0.5, "Complete", "In Progress"))</f>
        <v>Pending</v>
      </c>
      <c r="DX9" s="22">
        <v>0</v>
      </c>
      <c r="DY9" s="22">
        <f t="shared" si="11"/>
        <v>0</v>
      </c>
      <c r="DZ9" s="23" t="str">
        <f>IF(SUMPRODUCT($K$58:DY$58,$K9:DY9)&lt;0.5, "Pending", IF(DY9&lt;0.5, "Complete", "In Progress"))</f>
        <v>Pending</v>
      </c>
      <c r="EA9" s="24"/>
      <c r="EB9" s="25">
        <f>SUMPRODUCT($I$58:DH$58,$I9:DH9)</f>
        <v>0</v>
      </c>
    </row>
    <row r="10" spans="1:132" ht="12.75" customHeight="1" x14ac:dyDescent="0.25">
      <c r="A10" s="16"/>
      <c r="B10" s="17"/>
      <c r="C10" s="186"/>
      <c r="D10" s="170"/>
      <c r="E10" s="170"/>
      <c r="F10" s="18"/>
      <c r="G10" s="19" t="str">
        <f t="shared" ca="1" si="0"/>
        <v>Pending</v>
      </c>
      <c r="H10" s="21"/>
      <c r="I10" s="21">
        <f t="shared" si="1"/>
        <v>0</v>
      </c>
      <c r="J10" s="195">
        <v>0</v>
      </c>
      <c r="K10" s="22">
        <v>0</v>
      </c>
      <c r="L10" s="22">
        <f t="shared" si="12"/>
        <v>0</v>
      </c>
      <c r="M10" s="23" t="str">
        <f>IF(SUMPRODUCT($K$58:L$58,$K10:L10)&lt;0.5,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IF(SUMPRODUCT($K$58:O$58,$K10:O10)&lt;0.5,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IF(SUMPRODUCT($K$58:R$58,$K10:R10)&lt;0.5,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IF(SUMPRODUCT($K$58:U$58,$K10:U10)&lt;0.5,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IF(SUMPRODUCT($K$58:X$58,$K10:X10)&lt;0.5,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IF(SUMPRODUCT($K$58:AA$58,$K10:AA10)&lt;0.5,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IF(SUMPRODUCT($K$58:AD$58,$K10:AD10)&lt;0.5,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IF(SUMPRODUCT($K$58:AG$58,$K10:AG10)&lt;0.5,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IF(SUMPRODUCT($K$58:AJ$58,$K10:AJ10)&lt;0.5,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IF(SUMPRODUCT($K$58:AM$58,$K10:AM10)&lt;0.5,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IF(SUMPRODUCT($K$58:AP$58,$K10:AP10)&lt;0.5,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IF(SUMPRODUCT($K$58:AS$58,$K10:AS10)&lt;0.5,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IF(SUMPRODUCT($K$58:AV$58,$K10:AV10)&lt;0.5,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IF(SUMPRODUCT($K$58:AY$58,$K10:AY10)&lt;0.5,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IF(SUMPRODUCT($K$58:BB$58,$K10:BB10)&lt;0.5,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IF(SUMPRODUCT($K$58:BE$58,$K10:BE10)&lt;0.5,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IF(SUMPRODUCT($K$58:BH$58,$K10:BH10)&lt;0.5,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IF(SUMPRODUCT($K$58:BK$58,$K10:BK10)&lt;0.5,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IF(SUMPRODUCT($K$58:BN$58,$K10:BN10)&lt;0.5,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IF(SUMPRODUCT($K$58:BQ$58,$K10:BQ10)&lt;0.5,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IF(SUMPRODUCT($K$58:BT$58,$K10:BT10)&lt;0.5,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IF(SUMPRODUCT($K$58:BW$58,$K10:BW10)&lt;0.5,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IF(SUMPRODUCT($K$58:BZ$58,$K10:BZ10)&lt;0.5,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IF(SUMPRODUCT($K$58:CC$58,$K10:CC10)&lt;0.5,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IF(SUMPRODUCT($K$58:CF$58,$K10:CF10)&lt;0.5,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IF(SUMPRODUCT($K$58:CI$58,$K10:CI10)&lt;0.5,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IF(SUMPRODUCT($K$58:CL$58,$K10:CL10)&lt;0.5,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IF(SUMPRODUCT($K$58:CO$58,$K10:CO10)&lt;0.5,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IF(SUMPRODUCT($K$58:CR$58,$K10:CR10)&lt;0.5, "Pending", IF(CR10&lt;0.5, "Complete", "In Progress"))</f>
        <v>Pending</v>
      </c>
      <c r="CT10" s="22">
        <v>0</v>
      </c>
      <c r="CU10" s="22">
        <f t="shared" si="41"/>
        <v>0</v>
      </c>
      <c r="CV10" s="23" t="str">
        <f>IF(SUMPRODUCT($K$58:CU$58,$K10:CU10)&lt;0.5,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IF(SUMPRODUCT($K$58:CX$58,$K10:CX10)&lt;0.5,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IF(SUMPRODUCT($K$58:DA$58,$K10:DA10)&lt;0.5,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IF(SUMPRODUCT($K$58:DD$58,$K10:DD10)&lt;0.5,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IF(SUMPRODUCT($K$58:DG$58,$K10:DG10)&lt;0.5,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IF(SUMPRODUCT($K$58:DJ$58,$K10:DJ10)&lt;0.5,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IF(SUMPRODUCT($K$58:DM$58,$K10:DM10)&lt;0.5,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IF(SUMPRODUCT($K$58:DP$58,$K10:DP10)&lt;0.5,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IF(SUMPRODUCT($K$58:DS$58,$K10:DS10)&lt;0.5,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IF(SUMPRODUCT($K$58:DV$58,$K10:DV10)&lt;0.5, "Pending", IF(DV10&lt;0.5, "Complete", "In Progress"))</f>
        <v>Pending</v>
      </c>
      <c r="DX10" s="22">
        <v>0</v>
      </c>
      <c r="DY10" s="22">
        <f t="shared" si="11"/>
        <v>0</v>
      </c>
      <c r="DZ10" s="23" t="str">
        <f>IF(SUMPRODUCT($K$58:DY$58,$K10:DY10)&lt;0.5, "Pending", IF(DY10&lt;0.5, "Complete", "In Progress"))</f>
        <v>Pending</v>
      </c>
      <c r="EA10" s="24"/>
      <c r="EB10" s="25">
        <f>SUMPRODUCT($I$58:DH$58,$I10:DH10)</f>
        <v>0</v>
      </c>
    </row>
    <row r="11" spans="1:132" ht="12.75" customHeight="1" x14ac:dyDescent="0.25">
      <c r="A11" s="16"/>
      <c r="B11" s="17"/>
      <c r="C11" s="186"/>
      <c r="D11" s="170"/>
      <c r="E11" s="170"/>
      <c r="F11" s="18"/>
      <c r="G11" s="19" t="str">
        <f t="shared" ca="1" si="0"/>
        <v>Pending</v>
      </c>
      <c r="H11" s="21"/>
      <c r="I11" s="21">
        <f t="shared" si="1"/>
        <v>0</v>
      </c>
      <c r="J11" s="195">
        <v>0</v>
      </c>
      <c r="K11" s="22">
        <v>0</v>
      </c>
      <c r="L11" s="22">
        <f t="shared" si="12"/>
        <v>0</v>
      </c>
      <c r="M11" s="23" t="str">
        <f>IF(SUMPRODUCT($K$58:L$58,$K11:L11)&lt;0.5,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IF(SUMPRODUCT($K$58:O$58,$K11:O11)&lt;0.5,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IF(SUMPRODUCT($K$58:R$58,$K11:R11)&lt;0.5,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IF(SUMPRODUCT($K$58:U$58,$K11:U11)&lt;0.5,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IF(SUMPRODUCT($K$58:X$58,$K11:X11)&lt;0.5,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IF(SUMPRODUCT($K$58:AA$58,$K11:AA11)&lt;0.5,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IF(SUMPRODUCT($K$58:AD$58,$K11:AD11)&lt;0.5,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IF(SUMPRODUCT($K$58:AG$58,$K11:AG11)&lt;0.5,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IF(SUMPRODUCT($K$58:AJ$58,$K11:AJ11)&lt;0.5,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IF(SUMPRODUCT($K$58:AM$58,$K11:AM11)&lt;0.5,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IF(SUMPRODUCT($K$58:AP$58,$K11:AP11)&lt;0.5,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IF(SUMPRODUCT($K$58:AS$58,$K11:AS11)&lt;0.5,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IF(SUMPRODUCT($K$58:AV$58,$K11:AV11)&lt;0.5,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IF(SUMPRODUCT($K$58:AY$58,$K11:AY11)&lt;0.5,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IF(SUMPRODUCT($K$58:BB$58,$K11:BB11)&lt;0.5,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IF(SUMPRODUCT($K$58:BE$58,$K11:BE11)&lt;0.5,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IF(SUMPRODUCT($K$58:BH$58,$K11:BH11)&lt;0.5,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IF(SUMPRODUCT($K$58:BK$58,$K11:BK11)&lt;0.5,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IF(SUMPRODUCT($K$58:BN$58,$K11:BN11)&lt;0.5,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IF(SUMPRODUCT($K$58:BQ$58,$K11:BQ11)&lt;0.5,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IF(SUMPRODUCT($K$58:BT$58,$K11:BT11)&lt;0.5,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IF(SUMPRODUCT($K$58:BW$58,$K11:BW11)&lt;0.5,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IF(SUMPRODUCT($K$58:BZ$58,$K11:BZ11)&lt;0.5,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IF(SUMPRODUCT($K$58:CC$58,$K11:CC11)&lt;0.5,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IF(SUMPRODUCT($K$58:CF$58,$K11:CF11)&lt;0.5,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IF(SUMPRODUCT($K$58:CI$58,$K11:CI11)&lt;0.5,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IF(SUMPRODUCT($K$58:CL$58,$K11:CL11)&lt;0.5,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IF(SUMPRODUCT($K$58:CO$58,$K11:CO11)&lt;0.5,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IF(SUMPRODUCT($K$58:CR$58,$K11:CR11)&lt;0.5, "Pending", IF(CR11&lt;0.5, "Complete", "In Progress"))</f>
        <v>Pending</v>
      </c>
      <c r="CT11" s="22">
        <v>0</v>
      </c>
      <c r="CU11" s="22">
        <f t="shared" si="41"/>
        <v>0</v>
      </c>
      <c r="CV11" s="23" t="str">
        <f>IF(SUMPRODUCT($K$58:CU$58,$K11:CU11)&lt;0.5,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IF(SUMPRODUCT($K$58:CX$58,$K11:CX11)&lt;0.5,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IF(SUMPRODUCT($K$58:DA$58,$K11:DA11)&lt;0.5,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IF(SUMPRODUCT($K$58:DD$58,$K11:DD11)&lt;0.5,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IF(SUMPRODUCT($K$58:DG$58,$K11:DG11)&lt;0.5,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IF(SUMPRODUCT($K$58:DJ$58,$K11:DJ11)&lt;0.5,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IF(SUMPRODUCT($K$58:DM$58,$K11:DM11)&lt;0.5,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IF(SUMPRODUCT($K$58:DP$58,$K11:DP11)&lt;0.5,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IF(SUMPRODUCT($K$58:DS$58,$K11:DS11)&lt;0.5,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IF(SUMPRODUCT($K$58:DV$58,$K11:DV11)&lt;0.5, "Pending", IF(DV11&lt;0.5, "Complete", "In Progress"))</f>
        <v>Pending</v>
      </c>
      <c r="DX11" s="22">
        <v>0</v>
      </c>
      <c r="DY11" s="22">
        <f t="shared" si="11"/>
        <v>0</v>
      </c>
      <c r="DZ11" s="23" t="str">
        <f>IF(SUMPRODUCT($K$58:DY$58,$K11:DY11)&lt;0.5, "Pending", IF(DY11&lt;0.5, "Complete", "In Progress"))</f>
        <v>Pending</v>
      </c>
      <c r="EA11" s="24"/>
      <c r="EB11" s="25">
        <f>SUMPRODUCT($I$58:DH$58,$I11:DH11)</f>
        <v>0</v>
      </c>
    </row>
    <row r="12" spans="1:132" x14ac:dyDescent="0.25">
      <c r="A12" s="16"/>
      <c r="B12" s="17"/>
      <c r="C12" s="186"/>
      <c r="D12" s="171"/>
      <c r="E12" s="177"/>
      <c r="F12" s="18"/>
      <c r="G12" s="19" t="str">
        <f t="shared" ca="1" si="0"/>
        <v>Pending</v>
      </c>
      <c r="H12" s="21"/>
      <c r="I12" s="21">
        <f t="shared" si="1"/>
        <v>0</v>
      </c>
      <c r="J12" s="195">
        <v>0</v>
      </c>
      <c r="K12" s="22">
        <v>0</v>
      </c>
      <c r="L12" s="22">
        <f t="shared" si="12"/>
        <v>0</v>
      </c>
      <c r="M12" s="23" t="str">
        <f>IF(SUMPRODUCT($K$58:L$58,$K12:L12)&lt;0.5,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IF(SUMPRODUCT($K$58:O$58,$K12:O12)&lt;0.5,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IF(SUMPRODUCT($K$58:R$58,$K12:R12)&lt;0.5,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IF(SUMPRODUCT($K$58:U$58,$K12:U12)&lt;0.5,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IF(SUMPRODUCT($K$58:X$58,$K12:X12)&lt;0.5,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IF(SUMPRODUCT($K$58:AA$58,$K12:AA12)&lt;0.5,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IF(SUMPRODUCT($K$58:AD$58,$K12:AD12)&lt;0.5,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IF(SUMPRODUCT($K$58:AG$58,$K12:AG12)&lt;0.5,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IF(SUMPRODUCT($K$58:AJ$58,$K12:AJ12)&lt;0.5,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IF(SUMPRODUCT($K$58:AM$58,$K12:AM12)&lt;0.5,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IF(SUMPRODUCT($K$58:AP$58,$K12:AP12)&lt;0.5,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IF(SUMPRODUCT($K$58:AS$58,$K12:AS12)&lt;0.5,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IF(SUMPRODUCT($K$58:AV$58,$K12:AV12)&lt;0.5,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IF(SUMPRODUCT($K$58:AY$58,$K12:AY12)&lt;0.5,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IF(SUMPRODUCT($K$58:BB$58,$K12:BB12)&lt;0.5,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IF(SUMPRODUCT($K$58:BE$58,$K12:BE12)&lt;0.5,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IF(SUMPRODUCT($K$58:BH$58,$K12:BH12)&lt;0.5,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IF(SUMPRODUCT($K$58:BK$58,$K12:BK12)&lt;0.5,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IF(SUMPRODUCT($K$58:BN$58,$K12:BN12)&lt;0.5,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IF(SUMPRODUCT($K$58:BQ$58,$K12:BQ12)&lt;0.5,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IF(SUMPRODUCT($K$58:BT$58,$K12:BT12)&lt;0.5,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IF(SUMPRODUCT($K$58:BW$58,$K12:BW12)&lt;0.5,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IF(SUMPRODUCT($K$58:BZ$58,$K12:BZ12)&lt;0.5,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IF(SUMPRODUCT($K$58:CC$58,$K12:CC12)&lt;0.5,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IF(SUMPRODUCT($K$58:CF$58,$K12:CF12)&lt;0.5,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IF(SUMPRODUCT($K$58:CI$58,$K12:CI12)&lt;0.5,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IF(SUMPRODUCT($K$58:CL$58,$K12:CL12)&lt;0.5,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IF(SUMPRODUCT($K$58:CO$58,$K12:CO12)&lt;0.5,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IF(SUMPRODUCT($K$58:CR$58,$K12:CR12)&lt;0.5, "Pending", IF(CR12&lt;0.5, "Complete", "In Progress"))</f>
        <v>Pending</v>
      </c>
      <c r="CT12" s="22">
        <v>0</v>
      </c>
      <c r="CU12" s="22">
        <f t="shared" si="41"/>
        <v>0</v>
      </c>
      <c r="CV12" s="23" t="str">
        <f>IF(SUMPRODUCT($K$58:CU$58,$K12:CU12)&lt;0.5,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IF(SUMPRODUCT($K$58:CX$58,$K12:CX12)&lt;0.5,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IF(SUMPRODUCT($K$58:DA$58,$K12:DA12)&lt;0.5,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IF(SUMPRODUCT($K$58:DD$58,$K12:DD12)&lt;0.5,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IF(SUMPRODUCT($K$58:DG$58,$K12:DG12)&lt;0.5,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IF(SUMPRODUCT($K$58:DJ$58,$K12:DJ12)&lt;0.5,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IF(SUMPRODUCT($K$58:DM$58,$K12:DM12)&lt;0.5,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IF(SUMPRODUCT($K$58:DP$58,$K12:DP12)&lt;0.5,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IF(SUMPRODUCT($K$58:DS$58,$K12:DS12)&lt;0.5,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IF(SUMPRODUCT($K$58:DV$58,$K12:DV12)&lt;0.5, "Pending", IF(DV12&lt;0.5, "Complete", "In Progress"))</f>
        <v>Pending</v>
      </c>
      <c r="DX12" s="22">
        <v>0</v>
      </c>
      <c r="DY12" s="22">
        <f t="shared" si="11"/>
        <v>0</v>
      </c>
      <c r="DZ12" s="23" t="str">
        <f>IF(SUMPRODUCT($K$58:DY$58,$K12:DY12)&lt;0.5, "Pending", IF(DY12&lt;0.5, "Complete", "In Progress"))</f>
        <v>Pending</v>
      </c>
      <c r="EA12" s="24"/>
      <c r="EB12" s="25">
        <f>SUMPRODUCT($I$58:DH$58,$I12:DH12)</f>
        <v>0</v>
      </c>
    </row>
    <row r="13" spans="1:132" ht="12.75" customHeight="1" x14ac:dyDescent="0.25">
      <c r="A13" s="16"/>
      <c r="B13" s="17"/>
      <c r="C13" s="186"/>
      <c r="D13" s="170"/>
      <c r="E13" s="170"/>
      <c r="F13" s="18"/>
      <c r="G13" s="19" t="str">
        <f t="shared" ca="1" si="0"/>
        <v>Pending</v>
      </c>
      <c r="H13" s="21"/>
      <c r="I13" s="21">
        <f t="shared" si="1"/>
        <v>0</v>
      </c>
      <c r="J13" s="195">
        <v>0</v>
      </c>
      <c r="K13" s="22">
        <v>0</v>
      </c>
      <c r="L13" s="22">
        <f t="shared" si="12"/>
        <v>0</v>
      </c>
      <c r="M13" s="23" t="str">
        <f>IF(SUMPRODUCT($K$58:L$58,$K13:L13)&lt;0.5,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IF(SUMPRODUCT($K$58:O$58,$K13:O13)&lt;0.5,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IF(SUMPRODUCT($K$58:R$58,$K13:R13)&lt;0.5,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IF(SUMPRODUCT($K$58:U$58,$K13:U13)&lt;0.5,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IF(SUMPRODUCT($K$58:X$58,$K13:X13)&lt;0.5,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IF(SUMPRODUCT($K$58:AA$58,$K13:AA13)&lt;0.5,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IF(SUMPRODUCT($K$58:AD$58,$K13:AD13)&lt;0.5,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IF(SUMPRODUCT($K$58:AG$58,$K13:AG13)&lt;0.5,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IF(SUMPRODUCT($K$58:AJ$58,$K13:AJ13)&lt;0.5,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IF(SUMPRODUCT($K$58:AM$58,$K13:AM13)&lt;0.5,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IF(SUMPRODUCT($K$58:AP$58,$K13:AP13)&lt;0.5,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IF(SUMPRODUCT($K$58:AS$58,$K13:AS13)&lt;0.5,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IF(SUMPRODUCT($K$58:AV$58,$K13:AV13)&lt;0.5,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IF(SUMPRODUCT($K$58:AY$58,$K13:AY13)&lt;0.5,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IF(SUMPRODUCT($K$58:BB$58,$K13:BB13)&lt;0.5,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IF(SUMPRODUCT($K$58:BE$58,$K13:BE13)&lt;0.5,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IF(SUMPRODUCT($K$58:BH$58,$K13:BH13)&lt;0.5,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IF(SUMPRODUCT($K$58:BK$58,$K13:BK13)&lt;0.5,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IF(SUMPRODUCT($K$58:BN$58,$K13:BN13)&lt;0.5,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IF(SUMPRODUCT($K$58:BQ$58,$K13:BQ13)&lt;0.5,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IF(SUMPRODUCT($K$58:BT$58,$K13:BT13)&lt;0.5,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IF(SUMPRODUCT($K$58:BW$58,$K13:BW13)&lt;0.5,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IF(SUMPRODUCT($K$58:BZ$58,$K13:BZ13)&lt;0.5,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IF(SUMPRODUCT($K$58:CC$58,$K13:CC13)&lt;0.5,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IF(SUMPRODUCT($K$58:CF$58,$K13:CF13)&lt;0.5,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IF(SUMPRODUCT($K$58:CI$58,$K13:CI13)&lt;0.5,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IF(SUMPRODUCT($K$58:CL$58,$K13:CL13)&lt;0.5,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IF(SUMPRODUCT($K$58:CO$58,$K13:CO13)&lt;0.5,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IF(SUMPRODUCT($K$58:CR$58,$K13:CR13)&lt;0.5, "Pending", IF(CR13&lt;0.5, "Complete", "In Progress"))</f>
        <v>Pending</v>
      </c>
      <c r="CT13" s="22">
        <v>0</v>
      </c>
      <c r="CU13" s="22">
        <f t="shared" si="41"/>
        <v>0</v>
      </c>
      <c r="CV13" s="23" t="str">
        <f>IF(SUMPRODUCT($K$58:CU$58,$K13:CU13)&lt;0.5,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IF(SUMPRODUCT($K$58:CX$58,$K13:CX13)&lt;0.5,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IF(SUMPRODUCT($K$58:DA$58,$K13:DA13)&lt;0.5,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IF(SUMPRODUCT($K$58:DD$58,$K13:DD13)&lt;0.5,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IF(SUMPRODUCT($K$58:DG$58,$K13:DG13)&lt;0.5,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IF(SUMPRODUCT($K$58:DJ$58,$K13:DJ13)&lt;0.5,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IF(SUMPRODUCT($K$58:DM$58,$K13:DM13)&lt;0.5,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IF(SUMPRODUCT($K$58:DP$58,$K13:DP13)&lt;0.5,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IF(SUMPRODUCT($K$58:DS$58,$K13:DS13)&lt;0.5,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IF(SUMPRODUCT($K$58:DV$58,$K13:DV13)&lt;0.5, "Pending", IF(DV13&lt;0.5, "Complete", "In Progress"))</f>
        <v>Pending</v>
      </c>
      <c r="DX13" s="22">
        <v>0</v>
      </c>
      <c r="DY13" s="22">
        <f t="shared" si="11"/>
        <v>0</v>
      </c>
      <c r="DZ13" s="23" t="str">
        <f>IF(SUMPRODUCT($K$58:DY$58,$K13:DY13)&lt;0.5, "Pending", IF(DY13&lt;0.5, "Complete", "In Progress"))</f>
        <v>Pending</v>
      </c>
      <c r="EA13" s="24"/>
      <c r="EB13" s="25">
        <f>SUMPRODUCT($I$58:DH$58,$I13:DH13)</f>
        <v>0</v>
      </c>
    </row>
    <row r="14" spans="1:132" ht="12.75" customHeight="1" x14ac:dyDescent="0.25">
      <c r="A14" s="16"/>
      <c r="B14" s="17"/>
      <c r="C14" s="186"/>
      <c r="D14" s="170"/>
      <c r="E14" s="170"/>
      <c r="F14" s="18"/>
      <c r="G14" s="19" t="str">
        <f t="shared" ca="1" si="0"/>
        <v>Pending</v>
      </c>
      <c r="H14" s="21"/>
      <c r="I14" s="21">
        <f t="shared" si="1"/>
        <v>0</v>
      </c>
      <c r="J14" s="195">
        <v>0</v>
      </c>
      <c r="K14" s="22">
        <v>0</v>
      </c>
      <c r="L14" s="22">
        <f t="shared" si="12"/>
        <v>0</v>
      </c>
      <c r="M14" s="23" t="str">
        <f>IF(SUMPRODUCT($K$58:L$58,$K14:L14)&lt;0.5,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IF(SUMPRODUCT($K$58:O$58,$K14:O14)&lt;0.5,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IF(SUMPRODUCT($K$58:R$58,$K14:R14)&lt;0.5,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IF(SUMPRODUCT($K$58:U$58,$K14:U14)&lt;0.5,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IF(SUMPRODUCT($K$58:X$58,$K14:X14)&lt;0.5,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IF(SUMPRODUCT($K$58:AA$58,$K14:AA14)&lt;0.5,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IF(SUMPRODUCT($K$58:AD$58,$K14:AD14)&lt;0.5,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IF(SUMPRODUCT($K$58:AG$58,$K14:AG14)&lt;0.5,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IF(SUMPRODUCT($K$58:AJ$58,$K14:AJ14)&lt;0.5,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IF(SUMPRODUCT($K$58:AM$58,$K14:AM14)&lt;0.5,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IF(SUMPRODUCT($K$58:AP$58,$K14:AP14)&lt;0.5,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IF(SUMPRODUCT($K$58:AS$58,$K14:AS14)&lt;0.5,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IF(SUMPRODUCT($K$58:AV$58,$K14:AV14)&lt;0.5,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IF(SUMPRODUCT($K$58:AY$58,$K14:AY14)&lt;0.5,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IF(SUMPRODUCT($K$58:BB$58,$K14:BB14)&lt;0.5,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IF(SUMPRODUCT($K$58:BE$58,$K14:BE14)&lt;0.5,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IF(SUMPRODUCT($K$58:BH$58,$K14:BH14)&lt;0.5,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IF(SUMPRODUCT($K$58:BK$58,$K14:BK14)&lt;0.5,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IF(SUMPRODUCT($K$58:BN$58,$K14:BN14)&lt;0.5,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IF(SUMPRODUCT($K$58:BQ$58,$K14:BQ14)&lt;0.5,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IF(SUMPRODUCT($K$58:BT$58,$K14:BT14)&lt;0.5,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IF(SUMPRODUCT($K$58:BW$58,$K14:BW14)&lt;0.5,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IF(SUMPRODUCT($K$58:BZ$58,$K14:BZ14)&lt;0.5,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IF(SUMPRODUCT($K$58:CC$58,$K14:CC14)&lt;0.5,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IF(SUMPRODUCT($K$58:CF$58,$K14:CF14)&lt;0.5,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IF(SUMPRODUCT($K$58:CI$58,$K14:CI14)&lt;0.5,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IF(SUMPRODUCT($K$58:CL$58,$K14:CL14)&lt;0.5,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IF(SUMPRODUCT($K$58:CO$58,$K14:CO14)&lt;0.5,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IF(SUMPRODUCT($K$58:CR$58,$K14:CR14)&lt;0.5, "Pending", IF(CR14&lt;0.5, "Complete", "In Progress"))</f>
        <v>Pending</v>
      </c>
      <c r="CT14" s="22">
        <v>0</v>
      </c>
      <c r="CU14" s="22">
        <f t="shared" si="41"/>
        <v>0</v>
      </c>
      <c r="CV14" s="23" t="str">
        <f>IF(SUMPRODUCT($K$58:CU$58,$K14:CU14)&lt;0.5,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IF(SUMPRODUCT($K$58:CX$58,$K14:CX14)&lt;0.5,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IF(SUMPRODUCT($K$58:DA$58,$K14:DA14)&lt;0.5,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IF(SUMPRODUCT($K$58:DD$58,$K14:DD14)&lt;0.5,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IF(SUMPRODUCT($K$58:DG$58,$K14:DG14)&lt;0.5,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IF(SUMPRODUCT($K$58:DJ$58,$K14:DJ14)&lt;0.5,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IF(SUMPRODUCT($K$58:DM$58,$K14:DM14)&lt;0.5,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IF(SUMPRODUCT($K$58:DP$58,$K14:DP14)&lt;0.5,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IF(SUMPRODUCT($K$58:DS$58,$K14:DS14)&lt;0.5,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IF(SUMPRODUCT($K$58:DV$58,$K14:DV14)&lt;0.5, "Pending", IF(DV14&lt;0.5, "Complete", "In Progress"))</f>
        <v>Pending</v>
      </c>
      <c r="DX14" s="22">
        <v>0</v>
      </c>
      <c r="DY14" s="22">
        <f t="shared" si="11"/>
        <v>0</v>
      </c>
      <c r="DZ14" s="23" t="str">
        <f>IF(SUMPRODUCT($K$58:DY$58,$K14:DY14)&lt;0.5, "Pending", IF(DY14&lt;0.5, "Complete", "In Progress"))</f>
        <v>Pending</v>
      </c>
      <c r="EA14" s="24"/>
      <c r="EB14" s="25">
        <f>SUMPRODUCT($I$58:DH$58,$I14:DH14)</f>
        <v>0</v>
      </c>
    </row>
    <row r="15" spans="1:132" ht="12.75" customHeight="1" x14ac:dyDescent="0.25">
      <c r="A15" s="16"/>
      <c r="B15" s="17"/>
      <c r="C15" s="186"/>
      <c r="D15" s="170"/>
      <c r="E15" s="170"/>
      <c r="F15" s="18"/>
      <c r="G15" s="19" t="str">
        <f t="shared" ca="1" si="0"/>
        <v>Pending</v>
      </c>
      <c r="H15" s="21"/>
      <c r="I15" s="21">
        <f t="shared" si="1"/>
        <v>0</v>
      </c>
      <c r="J15" s="195">
        <v>0</v>
      </c>
      <c r="K15" s="22">
        <v>0</v>
      </c>
      <c r="L15" s="22">
        <f t="shared" si="12"/>
        <v>0</v>
      </c>
      <c r="M15" s="23" t="str">
        <f>IF(SUMPRODUCT($K$58:L$58,$K15:L15)&lt;0.5,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IF(SUMPRODUCT($K$58:O$58,$K15:O15)&lt;0.5,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IF(SUMPRODUCT($K$58:R$58,$K15:R15)&lt;0.5,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IF(SUMPRODUCT($K$58:U$58,$K15:U15)&lt;0.5,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IF(SUMPRODUCT($K$58:X$58,$K15:X15)&lt;0.5,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IF(SUMPRODUCT($K$58:AA$58,$K15:AA15)&lt;0.5,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IF(SUMPRODUCT($K$58:AD$58,$K15:AD15)&lt;0.5,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IF(SUMPRODUCT($K$58:AG$58,$K15:AG15)&lt;0.5,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IF(SUMPRODUCT($K$58:AJ$58,$K15:AJ15)&lt;0.5,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IF(SUMPRODUCT($K$58:AM$58,$K15:AM15)&lt;0.5,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IF(SUMPRODUCT($K$58:AP$58,$K15:AP15)&lt;0.5,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IF(SUMPRODUCT($K$58:AS$58,$K15:AS15)&lt;0.5,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IF(SUMPRODUCT($K$58:AV$58,$K15:AV15)&lt;0.5,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IF(SUMPRODUCT($K$58:AY$58,$K15:AY15)&lt;0.5,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IF(SUMPRODUCT($K$58:BB$58,$K15:BB15)&lt;0.5,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IF(SUMPRODUCT($K$58:BE$58,$K15:BE15)&lt;0.5,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IF(SUMPRODUCT($K$58:BH$58,$K15:BH15)&lt;0.5,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IF(SUMPRODUCT($K$58:BK$58,$K15:BK15)&lt;0.5,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IF(SUMPRODUCT($K$58:BN$58,$K15:BN15)&lt;0.5,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IF(SUMPRODUCT($K$58:BQ$58,$K15:BQ15)&lt;0.5,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IF(SUMPRODUCT($K$58:BT$58,$K15:BT15)&lt;0.5,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IF(SUMPRODUCT($K$58:BW$58,$K15:BW15)&lt;0.5,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IF(SUMPRODUCT($K$58:BZ$58,$K15:BZ15)&lt;0.5,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IF(SUMPRODUCT($K$58:CC$58,$K15:CC15)&lt;0.5,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IF(SUMPRODUCT($K$58:CF$58,$K15:CF15)&lt;0.5,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IF(SUMPRODUCT($K$58:CI$58,$K15:CI15)&lt;0.5,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IF(SUMPRODUCT($K$58:CL$58,$K15:CL15)&lt;0.5,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IF(SUMPRODUCT($K$58:CO$58,$K15:CO15)&lt;0.5,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IF(SUMPRODUCT($K$58:CR$58,$K15:CR15)&lt;0.5, "Pending", IF(CR15&lt;0.5, "Complete", "In Progress"))</f>
        <v>Pending</v>
      </c>
      <c r="CT15" s="22">
        <v>0</v>
      </c>
      <c r="CU15" s="22">
        <f t="shared" si="41"/>
        <v>0</v>
      </c>
      <c r="CV15" s="23" t="str">
        <f>IF(SUMPRODUCT($K$58:CU$58,$K15:CU15)&lt;0.5,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IF(SUMPRODUCT($K$58:CX$58,$K15:CX15)&lt;0.5,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IF(SUMPRODUCT($K$58:DA$58,$K15:DA15)&lt;0.5,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IF(SUMPRODUCT($K$58:DD$58,$K15:DD15)&lt;0.5,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IF(SUMPRODUCT($K$58:DG$58,$K15:DG15)&lt;0.5,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IF(SUMPRODUCT($K$58:DJ$58,$K15:DJ15)&lt;0.5,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IF(SUMPRODUCT($K$58:DM$58,$K15:DM15)&lt;0.5,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IF(SUMPRODUCT($K$58:DP$58,$K15:DP15)&lt;0.5,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IF(SUMPRODUCT($K$58:DS$58,$K15:DS15)&lt;0.5,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IF(SUMPRODUCT($K$58:DV$58,$K15:DV15)&lt;0.5, "Pending", IF(DV15&lt;0.5, "Complete", "In Progress"))</f>
        <v>Pending</v>
      </c>
      <c r="DX15" s="22">
        <v>0</v>
      </c>
      <c r="DY15" s="22">
        <f t="shared" si="11"/>
        <v>0</v>
      </c>
      <c r="DZ15" s="23" t="str">
        <f>IF(SUMPRODUCT($K$58:DY$58,$K15:DY15)&lt;0.5, "Pending", IF(DY15&lt;0.5, "Complete", "In Progress"))</f>
        <v>Pending</v>
      </c>
      <c r="EA15" s="24"/>
      <c r="EB15" s="25">
        <f>SUMPRODUCT($I$58:DH$58,$I15:DH15)</f>
        <v>0</v>
      </c>
    </row>
    <row r="16" spans="1:132" ht="12.75" customHeight="1" x14ac:dyDescent="0.25">
      <c r="A16" s="16"/>
      <c r="B16" s="17"/>
      <c r="C16" s="186"/>
      <c r="D16" s="170"/>
      <c r="E16" s="170"/>
      <c r="F16" s="18"/>
      <c r="G16" s="19" t="str">
        <f t="shared" ca="1" si="0"/>
        <v>Pending</v>
      </c>
      <c r="H16" s="21"/>
      <c r="I16" s="21">
        <f t="shared" si="1"/>
        <v>0</v>
      </c>
      <c r="J16" s="195">
        <v>0</v>
      </c>
      <c r="K16" s="22">
        <v>0</v>
      </c>
      <c r="L16" s="22">
        <f t="shared" si="12"/>
        <v>0</v>
      </c>
      <c r="M16" s="23" t="str">
        <f>IF(SUMPRODUCT($K$58:L$58,$K16:L16)&lt;0.5,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IF(SUMPRODUCT($K$58:O$58,$K16:O16)&lt;0.5,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IF(SUMPRODUCT($K$58:R$58,$K16:R16)&lt;0.5,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IF(SUMPRODUCT($K$58:U$58,$K16:U16)&lt;0.5,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IF(SUMPRODUCT($K$58:X$58,$K16:X16)&lt;0.5,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IF(SUMPRODUCT($K$58:AA$58,$K16:AA16)&lt;0.5,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IF(SUMPRODUCT($K$58:AD$58,$K16:AD16)&lt;0.5,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IF(SUMPRODUCT($K$58:AG$58,$K16:AG16)&lt;0.5,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IF(SUMPRODUCT($K$58:AJ$58,$K16:AJ16)&lt;0.5,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IF(SUMPRODUCT($K$58:AM$58,$K16:AM16)&lt;0.5,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IF(SUMPRODUCT($K$58:AP$58,$K16:AP16)&lt;0.5,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IF(SUMPRODUCT($K$58:AS$58,$K16:AS16)&lt;0.5,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IF(SUMPRODUCT($K$58:AV$58,$K16:AV16)&lt;0.5,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IF(SUMPRODUCT($K$58:AY$58,$K16:AY16)&lt;0.5,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IF(SUMPRODUCT($K$58:BB$58,$K16:BB16)&lt;0.5,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IF(SUMPRODUCT($K$58:BE$58,$K16:BE16)&lt;0.5,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IF(SUMPRODUCT($K$58:BH$58,$K16:BH16)&lt;0.5,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IF(SUMPRODUCT($K$58:BK$58,$K16:BK16)&lt;0.5,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IF(SUMPRODUCT($K$58:BN$58,$K16:BN16)&lt;0.5,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IF(SUMPRODUCT($K$58:BQ$58,$K16:BQ16)&lt;0.5,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IF(SUMPRODUCT($K$58:BT$58,$K16:BT16)&lt;0.5,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IF(SUMPRODUCT($K$58:BW$58,$K16:BW16)&lt;0.5,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IF(SUMPRODUCT($K$58:BZ$58,$K16:BZ16)&lt;0.5,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IF(SUMPRODUCT($K$58:CC$58,$K16:CC16)&lt;0.5,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IF(SUMPRODUCT($K$58:CF$58,$K16:CF16)&lt;0.5,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IF(SUMPRODUCT($K$58:CI$58,$K16:CI16)&lt;0.5,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IF(SUMPRODUCT($K$58:CL$58,$K16:CL16)&lt;0.5,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IF(SUMPRODUCT($K$58:CO$58,$K16:CO16)&lt;0.5,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IF(SUMPRODUCT($K$58:CR$58,$K16:CR16)&lt;0.5, "Pending", IF(CR16&lt;0.5, "Complete", "In Progress"))</f>
        <v>Pending</v>
      </c>
      <c r="CT16" s="22">
        <v>0</v>
      </c>
      <c r="CU16" s="22">
        <f t="shared" si="41"/>
        <v>0</v>
      </c>
      <c r="CV16" s="23" t="str">
        <f>IF(SUMPRODUCT($K$58:CU$58,$K16:CU16)&lt;0.5, "Pending", IF(CU16&lt;0.5, "Complete", "In Progress"))</f>
        <v>Pending</v>
      </c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2"/>
      <c r="DY16" s="22"/>
      <c r="DZ16" s="23"/>
      <c r="EA16" s="24"/>
      <c r="EB16" s="25">
        <f>SUMPRODUCT($I$58:DH$58,$I16:DH16)</f>
        <v>0</v>
      </c>
    </row>
    <row r="17" spans="1:132" ht="12.75" customHeight="1" x14ac:dyDescent="0.25">
      <c r="A17" s="16"/>
      <c r="B17" s="17"/>
      <c r="C17" s="186"/>
      <c r="D17" s="170"/>
      <c r="E17" s="169"/>
      <c r="F17" s="18"/>
      <c r="G17" s="19" t="str">
        <f t="shared" ca="1" si="0"/>
        <v>Pending</v>
      </c>
      <c r="H17" s="21"/>
      <c r="I17" s="21">
        <f t="shared" si="1"/>
        <v>0</v>
      </c>
      <c r="J17" s="195">
        <v>0</v>
      </c>
      <c r="K17" s="22">
        <v>0</v>
      </c>
      <c r="L17" s="22">
        <f t="shared" si="12"/>
        <v>0</v>
      </c>
      <c r="M17" s="23" t="str">
        <f>IF(SUMPRODUCT($K$58:L$58,$K17:L17)&lt;0.5,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IF(SUMPRODUCT($K$58:O$58,$K17:O17)&lt;0.5,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IF(SUMPRODUCT($K$58:R$58,$K17:R17)&lt;0.5,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IF(SUMPRODUCT($K$58:U$58,$K17:U17)&lt;0.5,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IF(SUMPRODUCT($K$58:X$58,$K17:X17)&lt;0.5,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IF(SUMPRODUCT($K$58:AA$58,$K17:AA17)&lt;0.5,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IF(SUMPRODUCT($K$58:AD$58,$K17:AD17)&lt;0.5,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IF(SUMPRODUCT($K$58:AG$58,$K17:AG17)&lt;0.5,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IF(SUMPRODUCT($K$58:AJ$58,$K17:AJ17)&lt;0.5,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IF(SUMPRODUCT($K$58:AM$58,$K17:AM17)&lt;0.5,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IF(SUMPRODUCT($K$58:AP$58,$K17:AP17)&lt;0.5,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IF(SUMPRODUCT($K$58:AS$58,$K17:AS17)&lt;0.5,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IF(SUMPRODUCT($K$58:AV$58,$K17:AV17)&lt;0.5,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IF(SUMPRODUCT($K$58:AY$58,$K17:AY17)&lt;0.5,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IF(SUMPRODUCT($K$58:BB$58,$K17:BB17)&lt;0.5,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IF(SUMPRODUCT($K$58:BE$58,$K17:BE17)&lt;0.5,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IF(SUMPRODUCT($K$58:BH$58,$K17:BH17)&lt;0.5,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IF(SUMPRODUCT($K$58:BK$58,$K17:BK17)&lt;0.5,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IF(SUMPRODUCT($K$58:BN$58,$K17:BN17)&lt;0.5,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IF(SUMPRODUCT($K$58:BQ$58,$K17:BQ17)&lt;0.5,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IF(SUMPRODUCT($K$58:BT$58,$K17:BT17)&lt;0.5,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IF(SUMPRODUCT($K$58:BW$58,$K17:BW17)&lt;0.5,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IF(SUMPRODUCT($K$58:BZ$58,$K17:BZ17)&lt;0.5,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IF(SUMPRODUCT($K$58:CC$58,$K17:CC17)&lt;0.5,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IF(SUMPRODUCT($K$58:CF$58,$K17:CF17)&lt;0.5,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IF(SUMPRODUCT($K$58:CI$58,$K17:CI17)&lt;0.5,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IF(SUMPRODUCT($K$58:CL$58,$K17:CL17)&lt;0.5,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IF(SUMPRODUCT($K$58:CO$58,$K17:CO17)&lt;0.5,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IF(SUMPRODUCT($K$58:CR$58,$K17:CR17)&lt;0.5, "Pending", IF(CR17&lt;0.5, "Complete", "In Progress"))</f>
        <v>Pending</v>
      </c>
      <c r="CT17" s="22">
        <v>0</v>
      </c>
      <c r="CU17" s="22">
        <f t="shared" si="41"/>
        <v>0</v>
      </c>
      <c r="CV17" s="23" t="str">
        <f>IF(SUMPRODUCT($K$58:CU$58,$K17:CU17)&lt;0.5, "Pending", IF(CU17&lt;0.5, "Complete", "In Progress"))</f>
        <v>Pending</v>
      </c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2"/>
      <c r="DY17" s="22"/>
      <c r="DZ17" s="23"/>
      <c r="EA17" s="24"/>
      <c r="EB17" s="25">
        <f>SUMPRODUCT($I$58:DH$58,$I17:DH17)</f>
        <v>0</v>
      </c>
    </row>
    <row r="18" spans="1:132" x14ac:dyDescent="0.25">
      <c r="A18" s="16"/>
      <c r="B18" s="17"/>
      <c r="C18" s="186"/>
      <c r="D18" s="170"/>
      <c r="E18" s="169"/>
      <c r="F18" s="18"/>
      <c r="G18" s="19" t="str">
        <f t="shared" ca="1" si="0"/>
        <v>Pending</v>
      </c>
      <c r="H18" s="21"/>
      <c r="I18" s="21">
        <f t="shared" si="1"/>
        <v>0</v>
      </c>
      <c r="J18" s="195">
        <v>0</v>
      </c>
      <c r="K18" s="22">
        <v>0</v>
      </c>
      <c r="L18" s="22">
        <f t="shared" si="12"/>
        <v>0</v>
      </c>
      <c r="M18" s="23" t="str">
        <f>IF(SUMPRODUCT($K$58:L$58,$K18:L18)&lt;0.5,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IF(SUMPRODUCT($K$58:O$58,$K18:O18)&lt;0.5,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IF(SUMPRODUCT($K$58:R$58,$K18:R18)&lt;0.5,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IF(SUMPRODUCT($K$58:U$58,$K18:U18)&lt;0.5,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IF(SUMPRODUCT($K$58:X$58,$K18:X18)&lt;0.5,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IF(SUMPRODUCT($K$58:AA$58,$K18:AA18)&lt;0.5,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IF(SUMPRODUCT($K$58:AD$58,$K18:AD18)&lt;0.5,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IF(SUMPRODUCT($K$58:AG$58,$K18:AG18)&lt;0.5,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IF(SUMPRODUCT($K$58:AJ$58,$K18:AJ18)&lt;0.5,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IF(SUMPRODUCT($K$58:AM$58,$K18:AM18)&lt;0.5,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IF(SUMPRODUCT($K$58:AP$58,$K18:AP18)&lt;0.5,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IF(SUMPRODUCT($K$58:AS$58,$K18:AS18)&lt;0.5,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IF(SUMPRODUCT($K$58:AV$58,$K18:AV18)&lt;0.5,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IF(SUMPRODUCT($K$58:AY$58,$K18:AY18)&lt;0.5,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IF(SUMPRODUCT($K$58:BB$58,$K18:BB18)&lt;0.5,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IF(SUMPRODUCT($K$58:BE$58,$K18:BE18)&lt;0.5,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IF(SUMPRODUCT($K$58:BH$58,$K18:BH18)&lt;0.5,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IF(SUMPRODUCT($K$58:BK$58,$K18:BK18)&lt;0.5,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IF(SUMPRODUCT($K$58:BN$58,$K18:BN18)&lt;0.5,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IF(SUMPRODUCT($K$58:BQ$58,$K18:BQ18)&lt;0.5,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IF(SUMPRODUCT($K$58:BT$58,$K18:BT18)&lt;0.5,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IF(SUMPRODUCT($K$58:BW$58,$K18:BW18)&lt;0.5,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IF(SUMPRODUCT($K$58:BZ$58,$K18:BZ18)&lt;0.5,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IF(SUMPRODUCT($K$58:CC$58,$K18:CC18)&lt;0.5,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IF(SUMPRODUCT($K$58:CF$58,$K18:CF18)&lt;0.5,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IF(SUMPRODUCT($K$58:CI$58,$K18:CI18)&lt;0.5,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IF(SUMPRODUCT($K$58:CL$58,$K18:CL18)&lt;0.5,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IF(SUMPRODUCT($K$58:CO$58,$K18:CO18)&lt;0.5,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IF(SUMPRODUCT($K$58:CR$58,$K18:CR18)&lt;0.5, "Pending", IF(CR18&lt;0.5, "Complete", "In Progress"))</f>
        <v>Pending</v>
      </c>
      <c r="CT18" s="22">
        <v>0</v>
      </c>
      <c r="CU18" s="22">
        <f t="shared" si="41"/>
        <v>0</v>
      </c>
      <c r="CV18" s="23" t="str">
        <f>IF(SUMPRODUCT($K$58:CU$58,$K18:CU18)&lt;0.5, "Pending", IF(CU18&lt;0.5, "Complete", "In Progress"))</f>
        <v>Pending</v>
      </c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2"/>
      <c r="DY18" s="22"/>
      <c r="DZ18" s="23"/>
      <c r="EA18" s="24"/>
      <c r="EB18" s="25">
        <f>SUMPRODUCT($I$58:DH$58,$I18:DH18)</f>
        <v>0</v>
      </c>
    </row>
    <row r="19" spans="1:132" ht="12.75" customHeight="1" x14ac:dyDescent="0.25">
      <c r="A19" s="16"/>
      <c r="B19" s="17"/>
      <c r="C19" s="186"/>
      <c r="D19" s="170"/>
      <c r="E19" s="169"/>
      <c r="F19" s="18"/>
      <c r="G19" s="19" t="str">
        <f t="shared" ca="1" si="0"/>
        <v>Pending</v>
      </c>
      <c r="H19" s="21"/>
      <c r="I19" s="21">
        <f t="shared" si="1"/>
        <v>0</v>
      </c>
      <c r="J19" s="195">
        <v>0</v>
      </c>
      <c r="K19" s="22">
        <v>0</v>
      </c>
      <c r="L19" s="22">
        <f t="shared" si="12"/>
        <v>0</v>
      </c>
      <c r="M19" s="23" t="str">
        <f>IF(SUMPRODUCT($K$58:L$58,$K19:L19)&lt;0.5,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IF(SUMPRODUCT($K$58:O$58,$K19:O19)&lt;0.5,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IF(SUMPRODUCT($K$58:R$58,$K19:R19)&lt;0.5,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IF(SUMPRODUCT($K$58:U$58,$K19:U19)&lt;0.5,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IF(SUMPRODUCT($K$58:X$58,$K19:X19)&lt;0.5,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IF(SUMPRODUCT($K$58:AA$58,$K19:AA19)&lt;0.5,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IF(SUMPRODUCT($K$58:AD$58,$K19:AD19)&lt;0.5,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IF(SUMPRODUCT($K$58:AG$58,$K19:AG19)&lt;0.5,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IF(SUMPRODUCT($K$58:AJ$58,$K19:AJ19)&lt;0.5,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IF(SUMPRODUCT($K$58:AM$58,$K19:AM19)&lt;0.5,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IF(SUMPRODUCT($K$58:AP$58,$K19:AP19)&lt;0.5,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IF(SUMPRODUCT($K$58:AS$58,$K19:AS19)&lt;0.5,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IF(SUMPRODUCT($K$58:AV$58,$K19:AV19)&lt;0.5,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IF(SUMPRODUCT($K$58:AY$58,$K19:AY19)&lt;0.5,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IF(SUMPRODUCT($K$58:BB$58,$K19:BB19)&lt;0.5,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IF(SUMPRODUCT($K$58:BE$58,$K19:BE19)&lt;0.5,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IF(SUMPRODUCT($K$58:BH$58,$K19:BH19)&lt;0.5,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IF(SUMPRODUCT($K$58:BK$58,$K19:BK19)&lt;0.5,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IF(SUMPRODUCT($K$58:BN$58,$K19:BN19)&lt;0.5,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IF(SUMPRODUCT($K$58:BQ$58,$K19:BQ19)&lt;0.5,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IF(SUMPRODUCT($K$58:BT$58,$K19:BT19)&lt;0.5,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IF(SUMPRODUCT($K$58:BW$58,$K19:BW19)&lt;0.5,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IF(SUMPRODUCT($K$58:BZ$58,$K19:BZ19)&lt;0.5,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IF(SUMPRODUCT($K$58:CC$58,$K19:CC19)&lt;0.5,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IF(SUMPRODUCT($K$58:CF$58,$K19:CF19)&lt;0.5,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IF(SUMPRODUCT($K$58:CI$58,$K19:CI19)&lt;0.5,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IF(SUMPRODUCT($K$58:CL$58,$K19:CL19)&lt;0.5,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IF(SUMPRODUCT($K$58:CO$58,$K19:CO19)&lt;0.5,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IF(SUMPRODUCT($K$58:CR$58,$K19:CR19)&lt;0.5, "Pending", IF(CR19&lt;0.5, "Complete", "In Progress"))</f>
        <v>Pending</v>
      </c>
      <c r="CT19" s="22">
        <v>0</v>
      </c>
      <c r="CU19" s="22">
        <f t="shared" si="41"/>
        <v>0</v>
      </c>
      <c r="CV19" s="23" t="str">
        <f>IF(SUMPRODUCT($K$58:CU$58,$K19:CU19)&lt;0.5, "Pending", IF(CU19&lt;0.5, "Complete", "In Progress"))</f>
        <v>Pending</v>
      </c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2"/>
      <c r="DY19" s="22"/>
      <c r="DZ19" s="23"/>
      <c r="EA19" s="24"/>
      <c r="EB19" s="25">
        <f>SUMPRODUCT($I$58:DH$58,$I19:DH19)</f>
        <v>0</v>
      </c>
    </row>
    <row r="20" spans="1:132" ht="12.75" customHeight="1" x14ac:dyDescent="0.25">
      <c r="A20" s="16"/>
      <c r="B20" s="17"/>
      <c r="C20" s="186"/>
      <c r="D20" s="177"/>
      <c r="E20" s="169"/>
      <c r="F20" s="18"/>
      <c r="G20" s="19" t="str">
        <f t="shared" ca="1" si="0"/>
        <v>Pending</v>
      </c>
      <c r="H20" s="21"/>
      <c r="I20" s="21">
        <f t="shared" si="1"/>
        <v>0</v>
      </c>
      <c r="J20" s="195">
        <v>0</v>
      </c>
      <c r="K20" s="22">
        <v>0</v>
      </c>
      <c r="L20" s="22">
        <f t="shared" si="12"/>
        <v>0</v>
      </c>
      <c r="M20" s="23" t="str">
        <f>IF(SUMPRODUCT($K$58:L$58,$K20:L20)&lt;0.5,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IF(SUMPRODUCT($K$58:O$58,$K20:O20)&lt;0.5,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IF(SUMPRODUCT($K$58:R$58,$K20:R20)&lt;0.5,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IF(SUMPRODUCT($K$58:U$58,$K20:U20)&lt;0.5,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IF(SUMPRODUCT($K$58:X$58,$K20:X20)&lt;0.5,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IF(SUMPRODUCT($K$58:AA$58,$K20:AA20)&lt;0.5,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IF(SUMPRODUCT($K$58:AD$58,$K20:AD20)&lt;0.5,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IF(SUMPRODUCT($K$58:AG$58,$K20:AG20)&lt;0.5,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IF(SUMPRODUCT($K$58:AJ$58,$K20:AJ20)&lt;0.5,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IF(SUMPRODUCT($K$58:AM$58,$K20:AM20)&lt;0.5,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IF(SUMPRODUCT($K$58:AP$58,$K20:AP20)&lt;0.5,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IF(SUMPRODUCT($K$58:AS$58,$K20:AS20)&lt;0.5,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IF(SUMPRODUCT($K$58:AV$58,$K20:AV20)&lt;0.5,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IF(SUMPRODUCT($K$58:AY$58,$K20:AY20)&lt;0.5,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IF(SUMPRODUCT($K$58:BB$58,$K20:BB20)&lt;0.5,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IF(SUMPRODUCT($K$58:BE$58,$K20:BE20)&lt;0.5,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IF(SUMPRODUCT($K$58:BH$58,$K20:BH20)&lt;0.5,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IF(SUMPRODUCT($K$58:BK$58,$K20:BK20)&lt;0.5,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IF(SUMPRODUCT($K$58:BN$58,$K20:BN20)&lt;0.5,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IF(SUMPRODUCT($K$58:BQ$58,$K20:BQ20)&lt;0.5,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IF(SUMPRODUCT($K$58:BT$58,$K20:BT20)&lt;0.5,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IF(SUMPRODUCT($K$58:BW$58,$K20:BW20)&lt;0.5,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IF(SUMPRODUCT($K$58:BZ$58,$K20:BZ20)&lt;0.5,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IF(SUMPRODUCT($K$58:CC$58,$K20:CC20)&lt;0.5,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IF(SUMPRODUCT($K$58:CF$58,$K20:CF20)&lt;0.5,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IF(SUMPRODUCT($K$58:CI$58,$K20:CI20)&lt;0.5,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IF(SUMPRODUCT($K$58:CL$58,$K20:CL20)&lt;0.5,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IF(SUMPRODUCT($K$58:CO$58,$K20:CO20)&lt;0.5,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IF(SUMPRODUCT($K$58:CR$58,$K20:CR20)&lt;0.5, "Pending", IF(CR20&lt;0.5, "Complete", "In Progress"))</f>
        <v>Pending</v>
      </c>
      <c r="CT20" s="22">
        <v>0</v>
      </c>
      <c r="CU20" s="22">
        <f t="shared" si="41"/>
        <v>0</v>
      </c>
      <c r="CV20" s="23" t="str">
        <f>IF(SUMPRODUCT($K$58:CU$58,$K20:CU20)&lt;0.5, "Pending", IF(CU20&lt;0.5, "Complete", "In Progress"))</f>
        <v>Pending</v>
      </c>
      <c r="CW20" s="22">
        <v>0</v>
      </c>
      <c r="CX20" s="22">
        <f t="shared" ref="CX20:CX48" si="42">MAX(CU20-CW20,0)</f>
        <v>0</v>
      </c>
      <c r="CY20" s="23" t="str">
        <f>IF(SUMPRODUCT($K$58:CX$58,$K20:CX20)&lt;0.5, "Pending", IF(CX20&lt;0.5, "Complete", "In Progress"))</f>
        <v>Pending</v>
      </c>
      <c r="CZ20" s="22">
        <v>0</v>
      </c>
      <c r="DA20" s="22">
        <f t="shared" ref="DA20:DA48" si="43">MAX(CX20-CZ20,0)</f>
        <v>0</v>
      </c>
      <c r="DB20" s="23" t="str">
        <f>IF(SUMPRODUCT($K$58:DA$58,$K20:DA20)&lt;0.5, "Pending", IF(DA20&lt;0.5, "Complete", "In Progress"))</f>
        <v>Pending</v>
      </c>
      <c r="DC20" s="22">
        <v>0</v>
      </c>
      <c r="DD20" s="22">
        <f t="shared" ref="DD20:DD48" si="44">MAX(DA20-DC20,0)</f>
        <v>0</v>
      </c>
      <c r="DE20" s="23" t="str">
        <f>IF(SUMPRODUCT($K$58:DD$58,$K20:DD20)&lt;0.5, "Pending", IF(DD20&lt;0.5, "Complete", "In Progress"))</f>
        <v>Pending</v>
      </c>
      <c r="DF20" s="22">
        <v>0</v>
      </c>
      <c r="DG20" s="22">
        <f t="shared" ref="DG20:DG48" si="45">MAX(DD20-DF20,0)</f>
        <v>0</v>
      </c>
      <c r="DH20" s="23" t="str">
        <f>IF(SUMPRODUCT($K$58:DG$58,$K20:DG20)&lt;0.5, "Pending", IF(DG20&lt;0.5, "Complete", "In Progress"))</f>
        <v>Pending</v>
      </c>
      <c r="DI20" s="22">
        <v>0</v>
      </c>
      <c r="DJ20" s="22">
        <f t="shared" ref="DJ20:DJ48" si="46">MAX(DG20-DI20,0)</f>
        <v>0</v>
      </c>
      <c r="DK20" s="23" t="str">
        <f>IF(SUMPRODUCT($K$58:DJ$58,$K20:DJ20)&lt;0.5, "Pending", IF(DJ20&lt;0.5, "Complete", "In Progress"))</f>
        <v>Pending</v>
      </c>
      <c r="DL20" s="22">
        <v>0</v>
      </c>
      <c r="DM20" s="22">
        <f t="shared" ref="DM20:DM48" si="47">MAX(DJ20-DL20,0)</f>
        <v>0</v>
      </c>
      <c r="DN20" s="23" t="str">
        <f>IF(SUMPRODUCT($K$58:DM$58,$K20:DM20)&lt;0.5, "Pending", IF(DM20&lt;0.5, "Complete", "In Progress"))</f>
        <v>Pending</v>
      </c>
      <c r="DO20" s="22">
        <v>0</v>
      </c>
      <c r="DP20" s="22">
        <f t="shared" ref="DP20:DP48" si="48">MAX(DM20-DO20,0)</f>
        <v>0</v>
      </c>
      <c r="DQ20" s="23" t="str">
        <f>IF(SUMPRODUCT($K$58:DP$58,$K20:DP20)&lt;0.5, "Pending", IF(DP20&lt;0.5, "Complete", "In Progress"))</f>
        <v>Pending</v>
      </c>
      <c r="DR20" s="22">
        <v>0</v>
      </c>
      <c r="DS20" s="22">
        <f t="shared" ref="DS20:DS48" si="49">MAX(DP20-DR20,0)</f>
        <v>0</v>
      </c>
      <c r="DT20" s="23" t="str">
        <f>IF(SUMPRODUCT($K$58:DS$58,$K20:DS20)&lt;0.5, "Pending", IF(DS20&lt;0.5, "Complete", "In Progress"))</f>
        <v>Pending</v>
      </c>
      <c r="DU20" s="22">
        <v>0</v>
      </c>
      <c r="DV20" s="22">
        <f t="shared" ref="DV20:DV48" si="50">MAX(DS20-DU20,0)</f>
        <v>0</v>
      </c>
      <c r="DW20" s="23" t="str">
        <f>IF(SUMPRODUCT($K$58:DV$58,$K20:DV20)&lt;0.5, "Pending", IF(DV20&lt;0.5, "Complete", "In Progress"))</f>
        <v>Pending</v>
      </c>
      <c r="DX20" s="22">
        <v>0</v>
      </c>
      <c r="DY20" s="22">
        <f t="shared" ref="DY20:DY48" si="51">MAX(DV20-DX20,0)</f>
        <v>0</v>
      </c>
      <c r="DZ20" s="23" t="str">
        <f>IF(SUMPRODUCT($K$58:DY$58,$K20:DY20)&lt;0.5, "Pending", IF(DY20&lt;0.5, "Complete", "In Progress"))</f>
        <v>Pending</v>
      </c>
      <c r="EA20" s="24"/>
      <c r="EB20" s="25">
        <f>SUMPRODUCT($I$58:DH$58,$I20:DH20)</f>
        <v>0</v>
      </c>
    </row>
    <row r="21" spans="1:132" ht="12.75" customHeight="1" x14ac:dyDescent="0.25">
      <c r="A21" s="16"/>
      <c r="B21" s="17"/>
      <c r="C21" s="186"/>
      <c r="D21" s="177"/>
      <c r="E21" s="169"/>
      <c r="F21" s="18"/>
      <c r="G21" s="19" t="str">
        <f t="shared" ca="1" si="0"/>
        <v>Pending</v>
      </c>
      <c r="H21" s="21"/>
      <c r="I21" s="21">
        <f t="shared" si="1"/>
        <v>0</v>
      </c>
      <c r="J21" s="195">
        <v>0</v>
      </c>
      <c r="K21" s="22">
        <v>0</v>
      </c>
      <c r="L21" s="22">
        <f t="shared" si="12"/>
        <v>0</v>
      </c>
      <c r="M21" s="23" t="str">
        <f>IF(SUMPRODUCT($K$58:L$58,$K21:L21)&lt;0.5,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IF(SUMPRODUCT($K$58:O$58,$K21:O21)&lt;0.5,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IF(SUMPRODUCT($K$58:R$58,$K21:R21)&lt;0.5,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IF(SUMPRODUCT($K$58:U$58,$K21:U21)&lt;0.5,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IF(SUMPRODUCT($K$58:X$58,$K21:X21)&lt;0.5,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IF(SUMPRODUCT($K$58:AA$58,$K21:AA21)&lt;0.5,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IF(SUMPRODUCT($K$58:AD$58,$K21:AD21)&lt;0.5,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IF(SUMPRODUCT($K$58:AG$58,$K21:AG21)&lt;0.5,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IF(SUMPRODUCT($K$58:AJ$58,$K21:AJ21)&lt;0.5,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IF(SUMPRODUCT($K$58:AM$58,$K21:AM21)&lt;0.5,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IF(SUMPRODUCT($K$58:AP$58,$K21:AP21)&lt;0.5,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IF(SUMPRODUCT($K$58:AS$58,$K21:AS21)&lt;0.5,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IF(SUMPRODUCT($K$58:AV$58,$K21:AV21)&lt;0.5,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IF(SUMPRODUCT($K$58:AY$58,$K21:AY21)&lt;0.5,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IF(SUMPRODUCT($K$58:BB$58,$K21:BB21)&lt;0.5,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IF(SUMPRODUCT($K$58:BE$58,$K21:BE21)&lt;0.5,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IF(SUMPRODUCT($K$58:BH$58,$K21:BH21)&lt;0.5,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IF(SUMPRODUCT($K$58:BK$58,$K21:BK21)&lt;0.5,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IF(SUMPRODUCT($K$58:BN$58,$K21:BN21)&lt;0.5,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IF(SUMPRODUCT($K$58:BQ$58,$K21:BQ21)&lt;0.5,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IF(SUMPRODUCT($K$58:BT$58,$K21:BT21)&lt;0.5,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IF(SUMPRODUCT($K$58:BW$58,$K21:BW21)&lt;0.5,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IF(SUMPRODUCT($K$58:BZ$58,$K21:BZ21)&lt;0.5,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IF(SUMPRODUCT($K$58:CC$58,$K21:CC21)&lt;0.5,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IF(SUMPRODUCT($K$58:CF$58,$K21:CF21)&lt;0.5,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IF(SUMPRODUCT($K$58:CI$58,$K21:CI21)&lt;0.5,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IF(SUMPRODUCT($K$58:CL$58,$K21:CL21)&lt;0.5,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IF(SUMPRODUCT($K$58:CO$58,$K21:CO21)&lt;0.5,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IF(SUMPRODUCT($K$58:CR$58,$K21:CR21)&lt;0.5,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IF(SUMPRODUCT($K$58:CU$58,$K21:CU21)&lt;0.5,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IF(SUMPRODUCT($K$58:CX$58,$K21:CX21)&lt;0.5,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IF(SUMPRODUCT($K$58:DA$58,$K21:DA21)&lt;0.5,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IF(SUMPRODUCT($K$58:DD$58,$K21:DD21)&lt;0.5,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IF(SUMPRODUCT($K$58:DG$58,$K21:DG21)&lt;0.5,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IF(SUMPRODUCT($K$58:DJ$58,$K21:DJ21)&lt;0.5,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IF(SUMPRODUCT($K$58:DM$58,$K21:DM21)&lt;0.5,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IF(SUMPRODUCT($K$58:DP$58,$K21:DP21)&lt;0.5,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IF(SUMPRODUCT($K$58:DS$58,$K21:DS21)&lt;0.5,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IF(SUMPRODUCT($K$58:DV$58,$K21:DV21)&lt;0.5, "Pending", IF(DV21&lt;0.5, "Complete", "In Progress"))</f>
        <v>Pending</v>
      </c>
      <c r="DX21" s="22">
        <v>0</v>
      </c>
      <c r="DY21" s="22">
        <f t="shared" si="51"/>
        <v>0</v>
      </c>
      <c r="DZ21" s="23" t="str">
        <f>IF(SUMPRODUCT($K$58:DY$58,$K21:DY21)&lt;0.5, "Pending", IF(DY21&lt;0.5, "Complete", "In Progress"))</f>
        <v>Pending</v>
      </c>
      <c r="EA21" s="24"/>
      <c r="EB21" s="25">
        <f>SUMPRODUCT($I$58:DH$58,$I21:DH21)</f>
        <v>0</v>
      </c>
    </row>
    <row r="22" spans="1:132" ht="12.75" customHeight="1" x14ac:dyDescent="0.25">
      <c r="A22" s="16"/>
      <c r="B22" s="17"/>
      <c r="C22" s="186"/>
      <c r="D22" s="177"/>
      <c r="E22" s="169"/>
      <c r="F22" s="18"/>
      <c r="G22" s="19" t="str">
        <f t="shared" ca="1" si="0"/>
        <v>Pending</v>
      </c>
      <c r="H22" s="21"/>
      <c r="I22" s="21">
        <f t="shared" si="1"/>
        <v>0</v>
      </c>
      <c r="J22" s="195">
        <v>0</v>
      </c>
      <c r="K22" s="22">
        <v>0</v>
      </c>
      <c r="L22" s="22">
        <f t="shared" si="12"/>
        <v>0</v>
      </c>
      <c r="M22" s="23" t="str">
        <f>IF(SUMPRODUCT($K$58:L$58,$K22:L22)&lt;0.5,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IF(SUMPRODUCT($K$58:O$58,$K22:O22)&lt;0.5,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IF(SUMPRODUCT($K$58:R$58,$K22:R22)&lt;0.5,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IF(SUMPRODUCT($K$58:U$58,$K22:U22)&lt;0.5,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IF(SUMPRODUCT($K$58:X$58,$K22:X22)&lt;0.5,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IF(SUMPRODUCT($K$58:AA$58,$K22:AA22)&lt;0.5,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IF(SUMPRODUCT($K$58:AD$58,$K22:AD22)&lt;0.5,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IF(SUMPRODUCT($K$58:AG$58,$K22:AG22)&lt;0.5,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IF(SUMPRODUCT($K$58:AJ$58,$K22:AJ22)&lt;0.5,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IF(SUMPRODUCT($K$58:AM$58,$K22:AM22)&lt;0.5,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IF(SUMPRODUCT($K$58:AP$58,$K22:AP22)&lt;0.5,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IF(SUMPRODUCT($K$58:AS$58,$K22:AS22)&lt;0.5,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IF(SUMPRODUCT($K$58:AV$58,$K22:AV22)&lt;0.5,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IF(SUMPRODUCT($K$58:AY$58,$K22:AY22)&lt;0.5,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IF(SUMPRODUCT($K$58:BB$58,$K22:BB22)&lt;0.5,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IF(SUMPRODUCT($K$58:BE$58,$K22:BE22)&lt;0.5,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IF(SUMPRODUCT($K$58:BH$58,$K22:BH22)&lt;0.5,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IF(SUMPRODUCT($K$58:BK$58,$K22:BK22)&lt;0.5,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IF(SUMPRODUCT($K$58:BN$58,$K22:BN22)&lt;0.5,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IF(SUMPRODUCT($K$58:BQ$58,$K22:BQ22)&lt;0.5,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IF(SUMPRODUCT($K$58:BT$58,$K22:BT22)&lt;0.5,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IF(SUMPRODUCT($K$58:BW$58,$K22:BW22)&lt;0.5,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IF(SUMPRODUCT($K$58:BZ$58,$K22:BZ22)&lt;0.5,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IF(SUMPRODUCT($K$58:CC$58,$K22:CC22)&lt;0.5,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IF(SUMPRODUCT($K$58:CF$58,$K22:CF22)&lt;0.5,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IF(SUMPRODUCT($K$58:CI$58,$K22:CI22)&lt;0.5,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IF(SUMPRODUCT($K$58:CL$58,$K22:CL22)&lt;0.5,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IF(SUMPRODUCT($K$58:CO$58,$K22:CO22)&lt;0.5,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IF(SUMPRODUCT($K$58:CR$58,$K22:CR22)&lt;0.5,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IF(SUMPRODUCT($K$58:CU$58,$K22:CU22)&lt;0.5,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IF(SUMPRODUCT($K$58:CX$58,$K22:CX22)&lt;0.5,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IF(SUMPRODUCT($K$58:DA$58,$K22:DA22)&lt;0.5,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IF(SUMPRODUCT($K$58:DD$58,$K22:DD22)&lt;0.5,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IF(SUMPRODUCT($K$58:DG$58,$K22:DG22)&lt;0.5,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IF(SUMPRODUCT($K$58:DJ$58,$K22:DJ22)&lt;0.5,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IF(SUMPRODUCT($K$58:DM$58,$K22:DM22)&lt;0.5,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IF(SUMPRODUCT($K$58:DP$58,$K22:DP22)&lt;0.5,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IF(SUMPRODUCT($K$58:DS$58,$K22:DS22)&lt;0.5,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IF(SUMPRODUCT($K$58:DV$58,$K22:DV22)&lt;0.5, "Pending", IF(DV22&lt;0.5, "Complete", "In Progress"))</f>
        <v>Pending</v>
      </c>
      <c r="DX22" s="22">
        <v>0</v>
      </c>
      <c r="DY22" s="22">
        <f t="shared" si="51"/>
        <v>0</v>
      </c>
      <c r="DZ22" s="23" t="str">
        <f>IF(SUMPRODUCT($K$58:DY$58,$K22:DY22)&lt;0.5, "Pending", IF(DY22&lt;0.5, "Complete", "In Progress"))</f>
        <v>Pending</v>
      </c>
      <c r="EA22" s="24"/>
      <c r="EB22" s="25">
        <f>SUMPRODUCT($I$58:DH$58,$I22:DH22)</f>
        <v>0</v>
      </c>
    </row>
    <row r="23" spans="1:132" ht="12.75" customHeight="1" x14ac:dyDescent="0.25">
      <c r="A23" s="16"/>
      <c r="B23" s="17"/>
      <c r="C23" s="186"/>
      <c r="D23" s="177"/>
      <c r="E23" s="169"/>
      <c r="F23" s="18"/>
      <c r="G23" s="19" t="str">
        <f t="shared" ca="1" si="0"/>
        <v>Pending</v>
      </c>
      <c r="H23" s="21"/>
      <c r="I23" s="21">
        <f t="shared" si="1"/>
        <v>0</v>
      </c>
      <c r="J23" s="195">
        <v>0</v>
      </c>
      <c r="K23" s="22">
        <v>0</v>
      </c>
      <c r="L23" s="22">
        <f t="shared" si="12"/>
        <v>0</v>
      </c>
      <c r="M23" s="23" t="str">
        <f>IF(SUMPRODUCT($K$58:L$58,$K23:L23)&lt;0.5,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IF(SUMPRODUCT($K$58:O$58,$K23:O23)&lt;0.5,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IF(SUMPRODUCT($K$58:R$58,$K23:R23)&lt;0.5,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IF(SUMPRODUCT($K$58:U$58,$K23:U23)&lt;0.5,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IF(SUMPRODUCT($K$58:X$58,$K23:X23)&lt;0.5,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IF(SUMPRODUCT($K$58:AA$58,$K23:AA23)&lt;0.5,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IF(SUMPRODUCT($K$58:AD$58,$K23:AD23)&lt;0.5,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IF(SUMPRODUCT($K$58:AG$58,$K23:AG23)&lt;0.5,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IF(SUMPRODUCT($K$58:AJ$58,$K23:AJ23)&lt;0.5,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IF(SUMPRODUCT($K$58:AM$58,$K23:AM23)&lt;0.5,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IF(SUMPRODUCT($K$58:AP$58,$K23:AP23)&lt;0.5,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IF(SUMPRODUCT($K$58:AS$58,$K23:AS23)&lt;0.5,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IF(SUMPRODUCT($K$58:AV$58,$K23:AV23)&lt;0.5,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IF(SUMPRODUCT($K$58:AY$58,$K23:AY23)&lt;0.5,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IF(SUMPRODUCT($K$58:BB$58,$K23:BB23)&lt;0.5,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IF(SUMPRODUCT($K$58:BE$58,$K23:BE23)&lt;0.5,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IF(SUMPRODUCT($K$58:BH$58,$K23:BH23)&lt;0.5,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IF(SUMPRODUCT($K$58:BK$58,$K23:BK23)&lt;0.5,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IF(SUMPRODUCT($K$58:BN$58,$K23:BN23)&lt;0.5,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IF(SUMPRODUCT($K$58:BQ$58,$K23:BQ23)&lt;0.5,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IF(SUMPRODUCT($K$58:BT$58,$K23:BT23)&lt;0.5,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IF(SUMPRODUCT($K$58:BW$58,$K23:BW23)&lt;0.5,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IF(SUMPRODUCT($K$58:BZ$58,$K23:BZ23)&lt;0.5,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IF(SUMPRODUCT($K$58:CC$58,$K23:CC23)&lt;0.5,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IF(SUMPRODUCT($K$58:CF$58,$K23:CF23)&lt;0.5,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IF(SUMPRODUCT($K$58:CI$58,$K23:CI23)&lt;0.5,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IF(SUMPRODUCT($K$58:CL$58,$K23:CL23)&lt;0.5,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IF(SUMPRODUCT($K$58:CO$58,$K23:CO23)&lt;0.5,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IF(SUMPRODUCT($K$58:CR$58,$K23:CR23)&lt;0.5,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IF(SUMPRODUCT($K$58:CU$58,$K23:CU23)&lt;0.5,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IF(SUMPRODUCT($K$58:CX$58,$K23:CX23)&lt;0.5,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IF(SUMPRODUCT($K$58:DA$58,$K23:DA23)&lt;0.5,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IF(SUMPRODUCT($K$58:DD$58,$K23:DD23)&lt;0.5,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IF(SUMPRODUCT($K$58:DG$58,$K23:DG23)&lt;0.5,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IF(SUMPRODUCT($K$58:DJ$58,$K23:DJ23)&lt;0.5,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IF(SUMPRODUCT($K$58:DM$58,$K23:DM23)&lt;0.5,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IF(SUMPRODUCT($K$58:DP$58,$K23:DP23)&lt;0.5,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IF(SUMPRODUCT($K$58:DS$58,$K23:DS23)&lt;0.5,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IF(SUMPRODUCT($K$58:DV$58,$K23:DV23)&lt;0.5, "Pending", IF(DV23&lt;0.5, "Complete", "In Progress"))</f>
        <v>Pending</v>
      </c>
      <c r="DX23" s="22">
        <v>0</v>
      </c>
      <c r="DY23" s="22">
        <f t="shared" si="51"/>
        <v>0</v>
      </c>
      <c r="DZ23" s="23" t="str">
        <f>IF(SUMPRODUCT($K$58:DY$58,$K23:DY23)&lt;0.5, "Pending", IF(DY23&lt;0.5, "Complete", "In Progress"))</f>
        <v>Pending</v>
      </c>
      <c r="EA23" s="24"/>
      <c r="EB23" s="25">
        <f>SUMPRODUCT($I$58:DH$58,$I23:DH23)</f>
        <v>0</v>
      </c>
    </row>
    <row r="24" spans="1:132" ht="12.75" customHeight="1" x14ac:dyDescent="0.25">
      <c r="A24" s="16"/>
      <c r="B24" s="17"/>
      <c r="C24" s="186"/>
      <c r="D24" s="177"/>
      <c r="E24" s="169"/>
      <c r="F24" s="18"/>
      <c r="G24" s="19" t="str">
        <f t="shared" ca="1" si="0"/>
        <v>Pending</v>
      </c>
      <c r="H24" s="21"/>
      <c r="I24" s="21">
        <f t="shared" si="1"/>
        <v>0</v>
      </c>
      <c r="J24" s="195">
        <v>0</v>
      </c>
      <c r="K24" s="22">
        <v>0</v>
      </c>
      <c r="L24" s="22">
        <f t="shared" si="12"/>
        <v>0</v>
      </c>
      <c r="M24" s="23" t="str">
        <f>IF(SUMPRODUCT($K$58:L$58,$K24:L24)&lt;0.5,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IF(SUMPRODUCT($K$58:O$58,$K24:O24)&lt;0.5,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IF(SUMPRODUCT($K$58:R$58,$K24:R24)&lt;0.5,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IF(SUMPRODUCT($K$58:U$58,$K24:U24)&lt;0.5,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IF(SUMPRODUCT($K$58:X$58,$K24:X24)&lt;0.5,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IF(SUMPRODUCT($K$58:AA$58,$K24:AA24)&lt;0.5,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IF(SUMPRODUCT($K$58:AD$58,$K24:AD24)&lt;0.5,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IF(SUMPRODUCT($K$58:AG$58,$K24:AG24)&lt;0.5,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IF(SUMPRODUCT($K$58:AJ$58,$K24:AJ24)&lt;0.5,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IF(SUMPRODUCT($K$58:AM$58,$K24:AM24)&lt;0.5,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IF(SUMPRODUCT($K$58:AP$58,$K24:AP24)&lt;0.5,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IF(SUMPRODUCT($K$58:AS$58,$K24:AS24)&lt;0.5,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IF(SUMPRODUCT($K$58:AV$58,$K24:AV24)&lt;0.5,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IF(SUMPRODUCT($K$58:AY$58,$K24:AY24)&lt;0.5,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IF(SUMPRODUCT($K$58:BB$58,$K24:BB24)&lt;0.5,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IF(SUMPRODUCT($K$58:BE$58,$K24:BE24)&lt;0.5,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IF(SUMPRODUCT($K$58:BH$58,$K24:BH24)&lt;0.5,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IF(SUMPRODUCT($K$58:BK$58,$K24:BK24)&lt;0.5,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IF(SUMPRODUCT($K$58:BN$58,$K24:BN24)&lt;0.5,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IF(SUMPRODUCT($K$58:BQ$58,$K24:BQ24)&lt;0.5,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IF(SUMPRODUCT($K$58:BT$58,$K24:BT24)&lt;0.5,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IF(SUMPRODUCT($K$58:BW$58,$K24:BW24)&lt;0.5,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IF(SUMPRODUCT($K$58:BZ$58,$K24:BZ24)&lt;0.5,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IF(SUMPRODUCT($K$58:CC$58,$K24:CC24)&lt;0.5,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IF(SUMPRODUCT($K$58:CF$58,$K24:CF24)&lt;0.5,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IF(SUMPRODUCT($K$58:CI$58,$K24:CI24)&lt;0.5,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IF(SUMPRODUCT($K$58:CL$58,$K24:CL24)&lt;0.5,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IF(SUMPRODUCT($K$58:CO$58,$K24:CO24)&lt;0.5,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IF(SUMPRODUCT($K$58:CR$58,$K24:CR24)&lt;0.5,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IF(SUMPRODUCT($K$58:CU$58,$K24:CU24)&lt;0.5,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IF(SUMPRODUCT($K$58:CX$58,$K24:CX24)&lt;0.5,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IF(SUMPRODUCT($K$58:DA$58,$K24:DA24)&lt;0.5,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IF(SUMPRODUCT($K$58:DD$58,$K24:DD24)&lt;0.5,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IF(SUMPRODUCT($K$58:DG$58,$K24:DG24)&lt;0.5,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IF(SUMPRODUCT($K$58:DJ$58,$K24:DJ24)&lt;0.5,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IF(SUMPRODUCT($K$58:DM$58,$K24:DM24)&lt;0.5,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IF(SUMPRODUCT($K$58:DP$58,$K24:DP24)&lt;0.5,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IF(SUMPRODUCT($K$58:DS$58,$K24:DS24)&lt;0.5,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IF(SUMPRODUCT($K$58:DV$58,$K24:DV24)&lt;0.5, "Pending", IF(DV24&lt;0.5, "Complete", "In Progress"))</f>
        <v>Pending</v>
      </c>
      <c r="DX24" s="22">
        <v>0</v>
      </c>
      <c r="DY24" s="22">
        <f t="shared" si="51"/>
        <v>0</v>
      </c>
      <c r="DZ24" s="23" t="str">
        <f>IF(SUMPRODUCT($K$58:DY$58,$K24:DY24)&lt;0.5, "Pending", IF(DY24&lt;0.5, "Complete", "In Progress"))</f>
        <v>Pending</v>
      </c>
      <c r="EA24" s="24"/>
      <c r="EB24" s="25">
        <f>SUMPRODUCT($I$58:DH$58,$I24:DH24)</f>
        <v>0</v>
      </c>
    </row>
    <row r="25" spans="1:132" ht="12.75" customHeight="1" x14ac:dyDescent="0.25">
      <c r="A25" s="16"/>
      <c r="B25" s="17"/>
      <c r="C25" s="186"/>
      <c r="D25" s="177"/>
      <c r="E25" s="169"/>
      <c r="F25" s="18"/>
      <c r="G25" s="19" t="str">
        <f t="shared" ca="1" si="0"/>
        <v>Pending</v>
      </c>
      <c r="H25" s="21"/>
      <c r="I25" s="21">
        <f t="shared" si="1"/>
        <v>0</v>
      </c>
      <c r="J25" s="195">
        <v>0</v>
      </c>
      <c r="K25" s="22">
        <v>0</v>
      </c>
      <c r="L25" s="22">
        <f t="shared" si="12"/>
        <v>0</v>
      </c>
      <c r="M25" s="23" t="str">
        <f>IF(SUMPRODUCT($K$58:L$58,$K25:L25)&lt;0.5,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IF(SUMPRODUCT($K$58:O$58,$K25:O25)&lt;0.5,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IF(SUMPRODUCT($K$58:R$58,$K25:R25)&lt;0.5,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IF(SUMPRODUCT($K$58:U$58,$K25:U25)&lt;0.5,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IF(SUMPRODUCT($K$58:X$58,$K25:X25)&lt;0.5,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IF(SUMPRODUCT($K$58:AA$58,$K25:AA25)&lt;0.5,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IF(SUMPRODUCT($K$58:AD$58,$K25:AD25)&lt;0.5,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IF(SUMPRODUCT($K$58:AG$58,$K25:AG25)&lt;0.5,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IF(SUMPRODUCT($K$58:AJ$58,$K25:AJ25)&lt;0.5,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IF(SUMPRODUCT($K$58:AM$58,$K25:AM25)&lt;0.5,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IF(SUMPRODUCT($K$58:AP$58,$K25:AP25)&lt;0.5,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IF(SUMPRODUCT($K$58:AS$58,$K25:AS25)&lt;0.5,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IF(SUMPRODUCT($K$58:AV$58,$K25:AV25)&lt;0.5,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IF(SUMPRODUCT($K$58:AY$58,$K25:AY25)&lt;0.5,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IF(SUMPRODUCT($K$58:BB$58,$K25:BB25)&lt;0.5,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IF(SUMPRODUCT($K$58:BE$58,$K25:BE25)&lt;0.5,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IF(SUMPRODUCT($K$58:BH$58,$K25:BH25)&lt;0.5,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IF(SUMPRODUCT($K$58:BK$58,$K25:BK25)&lt;0.5,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IF(SUMPRODUCT($K$58:BN$58,$K25:BN25)&lt;0.5,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IF(SUMPRODUCT($K$58:BQ$58,$K25:BQ25)&lt;0.5,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IF(SUMPRODUCT($K$58:BT$58,$K25:BT25)&lt;0.5,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IF(SUMPRODUCT($K$58:BW$58,$K25:BW25)&lt;0.5,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IF(SUMPRODUCT($K$58:BZ$58,$K25:BZ25)&lt;0.5,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IF(SUMPRODUCT($K$58:CC$58,$K25:CC25)&lt;0.5,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IF(SUMPRODUCT($K$58:CF$58,$K25:CF25)&lt;0.5,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IF(SUMPRODUCT($K$58:CI$58,$K25:CI25)&lt;0.5,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IF(SUMPRODUCT($K$58:CL$58,$K25:CL25)&lt;0.5,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IF(SUMPRODUCT($K$58:CO$58,$K25:CO25)&lt;0.5,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IF(SUMPRODUCT($K$58:CR$58,$K25:CR25)&lt;0.5,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IF(SUMPRODUCT($K$58:CU$58,$K25:CU25)&lt;0.5,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IF(SUMPRODUCT($K$58:CX$58,$K25:CX25)&lt;0.5,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IF(SUMPRODUCT($K$58:DA$58,$K25:DA25)&lt;0.5,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IF(SUMPRODUCT($K$58:DD$58,$K25:DD25)&lt;0.5,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IF(SUMPRODUCT($K$58:DG$58,$K25:DG25)&lt;0.5,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IF(SUMPRODUCT($K$58:DJ$58,$K25:DJ25)&lt;0.5,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IF(SUMPRODUCT($K$58:DM$58,$K25:DM25)&lt;0.5,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IF(SUMPRODUCT($K$58:DP$58,$K25:DP25)&lt;0.5,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IF(SUMPRODUCT($K$58:DS$58,$K25:DS25)&lt;0.5,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IF(SUMPRODUCT($K$58:DV$58,$K25:DV25)&lt;0.5, "Pending", IF(DV25&lt;0.5, "Complete", "In Progress"))</f>
        <v>Pending</v>
      </c>
      <c r="DX25" s="22">
        <v>0</v>
      </c>
      <c r="DY25" s="22">
        <f t="shared" si="51"/>
        <v>0</v>
      </c>
      <c r="DZ25" s="23" t="str">
        <f>IF(SUMPRODUCT($K$58:DY$58,$K25:DY25)&lt;0.5, "Pending", IF(DY25&lt;0.5, "Complete", "In Progress"))</f>
        <v>Pending</v>
      </c>
      <c r="EA25" s="24"/>
      <c r="EB25" s="25">
        <f>SUMPRODUCT($I$58:DH$58,$I25:DH25)</f>
        <v>0</v>
      </c>
    </row>
    <row r="26" spans="1:132" ht="12.75" customHeight="1" x14ac:dyDescent="0.25">
      <c r="A26" s="16"/>
      <c r="B26" s="17"/>
      <c r="C26" s="186"/>
      <c r="D26" s="177"/>
      <c r="E26" s="169"/>
      <c r="F26" s="18"/>
      <c r="G26" s="19" t="str">
        <f t="shared" ca="1" si="0"/>
        <v>Pending</v>
      </c>
      <c r="H26" s="21"/>
      <c r="I26" s="21">
        <f t="shared" si="1"/>
        <v>0</v>
      </c>
      <c r="J26" s="195">
        <v>0</v>
      </c>
      <c r="K26" s="22">
        <v>0</v>
      </c>
      <c r="L26" s="22">
        <f t="shared" si="12"/>
        <v>0</v>
      </c>
      <c r="M26" s="23" t="str">
        <f>IF(SUMPRODUCT($K$58:L$58,$K26:L26)&lt;0.5,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IF(SUMPRODUCT($K$58:O$58,$K26:O26)&lt;0.5,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IF(SUMPRODUCT($K$58:R$58,$K26:R26)&lt;0.5,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IF(SUMPRODUCT($K$58:U$58,$K26:U26)&lt;0.5,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IF(SUMPRODUCT($K$58:X$58,$K26:X26)&lt;0.5,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IF(SUMPRODUCT($K$58:AA$58,$K26:AA26)&lt;0.5,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IF(SUMPRODUCT($K$58:AD$58,$K26:AD26)&lt;0.5,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IF(SUMPRODUCT($K$58:AG$58,$K26:AG26)&lt;0.5,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IF(SUMPRODUCT($K$58:AJ$58,$K26:AJ26)&lt;0.5,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IF(SUMPRODUCT($K$58:AM$58,$K26:AM26)&lt;0.5,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IF(SUMPRODUCT($K$58:AP$58,$K26:AP26)&lt;0.5,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IF(SUMPRODUCT($K$58:AS$58,$K26:AS26)&lt;0.5,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IF(SUMPRODUCT($K$58:AV$58,$K26:AV26)&lt;0.5,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IF(SUMPRODUCT($K$58:AY$58,$K26:AY26)&lt;0.5,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IF(SUMPRODUCT($K$58:BB$58,$K26:BB26)&lt;0.5,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IF(SUMPRODUCT($K$58:BE$58,$K26:BE26)&lt;0.5,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IF(SUMPRODUCT($K$58:BH$58,$K26:BH26)&lt;0.5,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IF(SUMPRODUCT($K$58:BK$58,$K26:BK26)&lt;0.5,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IF(SUMPRODUCT($K$58:BN$58,$K26:BN26)&lt;0.5,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IF(SUMPRODUCT($K$58:BQ$58,$K26:BQ26)&lt;0.5,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IF(SUMPRODUCT($K$58:BT$58,$K26:BT26)&lt;0.5,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IF(SUMPRODUCT($K$58:BW$58,$K26:BW26)&lt;0.5,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IF(SUMPRODUCT($K$58:BZ$58,$K26:BZ26)&lt;0.5,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IF(SUMPRODUCT($K$58:CC$58,$K26:CC26)&lt;0.5,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IF(SUMPRODUCT($K$58:CF$58,$K26:CF26)&lt;0.5,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IF(SUMPRODUCT($K$58:CI$58,$K26:CI26)&lt;0.5,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IF(SUMPRODUCT($K$58:CL$58,$K26:CL26)&lt;0.5,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IF(SUMPRODUCT($K$58:CO$58,$K26:CO26)&lt;0.5,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IF(SUMPRODUCT($K$58:CR$58,$K26:CR26)&lt;0.5,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IF(SUMPRODUCT($K$58:CU$58,$K26:CU26)&lt;0.5,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IF(SUMPRODUCT($K$58:CX$58,$K26:CX26)&lt;0.5,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IF(SUMPRODUCT($K$58:DA$58,$K26:DA26)&lt;0.5,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IF(SUMPRODUCT($K$58:DD$58,$K26:DD26)&lt;0.5,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IF(SUMPRODUCT($K$58:DG$58,$K26:DG26)&lt;0.5,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IF(SUMPRODUCT($K$58:DJ$58,$K26:DJ26)&lt;0.5,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IF(SUMPRODUCT($K$58:DM$58,$K26:DM26)&lt;0.5,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IF(SUMPRODUCT($K$58:DP$58,$K26:DP26)&lt;0.5,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IF(SUMPRODUCT($K$58:DS$58,$K26:DS26)&lt;0.5,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IF(SUMPRODUCT($K$58:DV$58,$K26:DV26)&lt;0.5, "Pending", IF(DV26&lt;0.5, "Complete", "In Progress"))</f>
        <v>Pending</v>
      </c>
      <c r="DX26" s="22">
        <v>0</v>
      </c>
      <c r="DY26" s="22">
        <f t="shared" si="51"/>
        <v>0</v>
      </c>
      <c r="DZ26" s="23" t="str">
        <f>IF(SUMPRODUCT($K$58:DY$58,$K26:DY26)&lt;0.5, "Pending", IF(DY26&lt;0.5, "Complete", "In Progress"))</f>
        <v>Pending</v>
      </c>
      <c r="EA26" s="24"/>
      <c r="EB26" s="25">
        <f>SUMPRODUCT($I$58:DH$58,$I26:DH26)</f>
        <v>0</v>
      </c>
    </row>
    <row r="27" spans="1:132" ht="12.75" customHeight="1" x14ac:dyDescent="0.25">
      <c r="A27" s="16"/>
      <c r="B27" s="17"/>
      <c r="C27" s="186"/>
      <c r="D27" s="177"/>
      <c r="E27" s="169"/>
      <c r="F27" s="18"/>
      <c r="G27" s="19" t="str">
        <f t="shared" ca="1" si="0"/>
        <v>Pending</v>
      </c>
      <c r="H27" s="21"/>
      <c r="I27" s="21">
        <f t="shared" si="1"/>
        <v>0</v>
      </c>
      <c r="J27" s="195">
        <v>0</v>
      </c>
      <c r="K27" s="22">
        <v>0</v>
      </c>
      <c r="L27" s="22">
        <f t="shared" si="12"/>
        <v>0</v>
      </c>
      <c r="M27" s="23" t="str">
        <f>IF(SUMPRODUCT($K$58:L$58,$K27:L27)&lt;0.5,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IF(SUMPRODUCT($K$58:O$58,$K27:O27)&lt;0.5,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IF(SUMPRODUCT($K$58:R$58,$K27:R27)&lt;0.5,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IF(SUMPRODUCT($K$58:U$58,$K27:U27)&lt;0.5,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IF(SUMPRODUCT($K$58:X$58,$K27:X27)&lt;0.5,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IF(SUMPRODUCT($K$58:AA$58,$K27:AA27)&lt;0.5,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IF(SUMPRODUCT($K$58:AD$58,$K27:AD27)&lt;0.5,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IF(SUMPRODUCT($K$58:AG$58,$K27:AG27)&lt;0.5,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IF(SUMPRODUCT($K$58:AJ$58,$K27:AJ27)&lt;0.5,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IF(SUMPRODUCT($K$58:AM$58,$K27:AM27)&lt;0.5,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IF(SUMPRODUCT($K$58:AP$58,$K27:AP27)&lt;0.5,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IF(SUMPRODUCT($K$58:AS$58,$K27:AS27)&lt;0.5,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IF(SUMPRODUCT($K$58:AV$58,$K27:AV27)&lt;0.5,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IF(SUMPRODUCT($K$58:AY$58,$K27:AY27)&lt;0.5,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IF(SUMPRODUCT($K$58:BB$58,$K27:BB27)&lt;0.5,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IF(SUMPRODUCT($K$58:BE$58,$K27:BE27)&lt;0.5,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IF(SUMPRODUCT($K$58:BH$58,$K27:BH27)&lt;0.5,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IF(SUMPRODUCT($K$58:BK$58,$K27:BK27)&lt;0.5,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IF(SUMPRODUCT($K$58:BN$58,$K27:BN27)&lt;0.5,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IF(SUMPRODUCT($K$58:BQ$58,$K27:BQ27)&lt;0.5,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IF(SUMPRODUCT($K$58:BT$58,$K27:BT27)&lt;0.5,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IF(SUMPRODUCT($K$58:BW$58,$K27:BW27)&lt;0.5,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IF(SUMPRODUCT($K$58:BZ$58,$K27:BZ27)&lt;0.5,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IF(SUMPRODUCT($K$58:CC$58,$K27:CC27)&lt;0.5,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IF(SUMPRODUCT($K$58:CF$58,$K27:CF27)&lt;0.5,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IF(SUMPRODUCT($K$58:CI$58,$K27:CI27)&lt;0.5,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IF(SUMPRODUCT($K$58:CL$58,$K27:CL27)&lt;0.5,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IF(SUMPRODUCT($K$58:CO$58,$K27:CO27)&lt;0.5,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IF(SUMPRODUCT($K$58:CR$58,$K27:CR27)&lt;0.5,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IF(SUMPRODUCT($K$58:CU$58,$K27:CU27)&lt;0.5,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IF(SUMPRODUCT($K$58:CX$58,$K27:CX27)&lt;0.5,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IF(SUMPRODUCT($K$58:DA$58,$K27:DA27)&lt;0.5,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IF(SUMPRODUCT($K$58:DD$58,$K27:DD27)&lt;0.5,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IF(SUMPRODUCT($K$58:DG$58,$K27:DG27)&lt;0.5,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IF(SUMPRODUCT($K$58:DJ$58,$K27:DJ27)&lt;0.5,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IF(SUMPRODUCT($K$58:DM$58,$K27:DM27)&lt;0.5,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IF(SUMPRODUCT($K$58:DP$58,$K27:DP27)&lt;0.5,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IF(SUMPRODUCT($K$58:DS$58,$K27:DS27)&lt;0.5,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IF(SUMPRODUCT($K$58:DV$58,$K27:DV27)&lt;0.5, "Pending", IF(DV27&lt;0.5, "Complete", "In Progress"))</f>
        <v>Pending</v>
      </c>
      <c r="DX27" s="22">
        <v>0</v>
      </c>
      <c r="DY27" s="22">
        <f t="shared" si="51"/>
        <v>0</v>
      </c>
      <c r="DZ27" s="23" t="str">
        <f>IF(SUMPRODUCT($K$58:DY$58,$K27:DY27)&lt;0.5, "Pending", IF(DY27&lt;0.5, "Complete", "In Progress"))</f>
        <v>Pending</v>
      </c>
      <c r="EA27" s="24"/>
      <c r="EB27" s="25">
        <f>SUMPRODUCT($I$58:DH$58,$I27:DH27)</f>
        <v>0</v>
      </c>
    </row>
    <row r="28" spans="1:132" ht="12.75" customHeight="1" x14ac:dyDescent="0.25">
      <c r="A28" s="16"/>
      <c r="B28" s="17"/>
      <c r="C28" s="186"/>
      <c r="D28" s="177"/>
      <c r="E28" s="169"/>
      <c r="F28" s="18"/>
      <c r="G28" s="19" t="str">
        <f t="shared" ca="1" si="0"/>
        <v>Pending</v>
      </c>
      <c r="H28" s="21"/>
      <c r="I28" s="21">
        <f t="shared" si="1"/>
        <v>0</v>
      </c>
      <c r="J28" s="195">
        <v>0</v>
      </c>
      <c r="K28" s="22">
        <v>0</v>
      </c>
      <c r="L28" s="22">
        <f t="shared" si="12"/>
        <v>0</v>
      </c>
      <c r="M28" s="23" t="str">
        <f>IF(SUMPRODUCT($K$58:L$58,$K28:L28)&lt;0.5,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IF(SUMPRODUCT($K$58:O$58,$K28:O28)&lt;0.5,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IF(SUMPRODUCT($K$58:R$58,$K28:R28)&lt;0.5,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IF(SUMPRODUCT($K$58:U$58,$K28:U28)&lt;0.5,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IF(SUMPRODUCT($K$58:X$58,$K28:X28)&lt;0.5,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IF(SUMPRODUCT($K$58:AA$58,$K28:AA28)&lt;0.5,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IF(SUMPRODUCT($K$58:AD$58,$K28:AD28)&lt;0.5,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IF(SUMPRODUCT($K$58:AG$58,$K28:AG28)&lt;0.5,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IF(SUMPRODUCT($K$58:AJ$58,$K28:AJ28)&lt;0.5,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IF(SUMPRODUCT($K$58:AM$58,$K28:AM28)&lt;0.5,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IF(SUMPRODUCT($K$58:AP$58,$K28:AP28)&lt;0.5,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IF(SUMPRODUCT($K$58:AS$58,$K28:AS28)&lt;0.5,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IF(SUMPRODUCT($K$58:AV$58,$K28:AV28)&lt;0.5,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IF(SUMPRODUCT($K$58:AY$58,$K28:AY28)&lt;0.5,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IF(SUMPRODUCT($K$58:BB$58,$K28:BB28)&lt;0.5,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IF(SUMPRODUCT($K$58:BE$58,$K28:BE28)&lt;0.5,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IF(SUMPRODUCT($K$58:BH$58,$K28:BH28)&lt;0.5,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IF(SUMPRODUCT($K$58:BK$58,$K28:BK28)&lt;0.5,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IF(SUMPRODUCT($K$58:BN$58,$K28:BN28)&lt;0.5,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IF(SUMPRODUCT($K$58:BQ$58,$K28:BQ28)&lt;0.5,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IF(SUMPRODUCT($K$58:BT$58,$K28:BT28)&lt;0.5,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IF(SUMPRODUCT($K$58:BW$58,$K28:BW28)&lt;0.5,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IF(SUMPRODUCT($K$58:BZ$58,$K28:BZ28)&lt;0.5,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IF(SUMPRODUCT($K$58:CC$58,$K28:CC28)&lt;0.5,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IF(SUMPRODUCT($K$58:CF$58,$K28:CF28)&lt;0.5,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IF(SUMPRODUCT($K$58:CI$58,$K28:CI28)&lt;0.5,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IF(SUMPRODUCT($K$58:CL$58,$K28:CL28)&lt;0.5,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IF(SUMPRODUCT($K$58:CO$58,$K28:CO28)&lt;0.5,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IF(SUMPRODUCT($K$58:CR$58,$K28:CR28)&lt;0.5,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IF(SUMPRODUCT($K$58:CU$58,$K28:CU28)&lt;0.5,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IF(SUMPRODUCT($K$58:CX$58,$K28:CX28)&lt;0.5,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IF(SUMPRODUCT($K$58:DA$58,$K28:DA28)&lt;0.5,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IF(SUMPRODUCT($K$58:DD$58,$K28:DD28)&lt;0.5,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IF(SUMPRODUCT($K$58:DG$58,$K28:DG28)&lt;0.5,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IF(SUMPRODUCT($K$58:DJ$58,$K28:DJ28)&lt;0.5,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IF(SUMPRODUCT($K$58:DM$58,$K28:DM28)&lt;0.5,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IF(SUMPRODUCT($K$58:DP$58,$K28:DP28)&lt;0.5,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IF(SUMPRODUCT($K$58:DS$58,$K28:DS28)&lt;0.5,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IF(SUMPRODUCT($K$58:DV$58,$K28:DV28)&lt;0.5, "Pending", IF(DV28&lt;0.5, "Complete", "In Progress"))</f>
        <v>Pending</v>
      </c>
      <c r="DX28" s="22">
        <v>0</v>
      </c>
      <c r="DY28" s="22">
        <f t="shared" si="51"/>
        <v>0</v>
      </c>
      <c r="DZ28" s="23" t="str">
        <f>IF(SUMPRODUCT($K$58:DY$58,$K28:DY28)&lt;0.5, "Pending", IF(DY28&lt;0.5, "Complete", "In Progress"))</f>
        <v>Pending</v>
      </c>
      <c r="EA28" s="24"/>
      <c r="EB28" s="25">
        <f>SUMPRODUCT($I$58:DH$58,$I28:DH28)</f>
        <v>0</v>
      </c>
    </row>
    <row r="29" spans="1:132" ht="12.75" customHeight="1" x14ac:dyDescent="0.25">
      <c r="A29" s="16"/>
      <c r="B29" s="17"/>
      <c r="C29" s="186"/>
      <c r="D29" s="177"/>
      <c r="E29" s="169"/>
      <c r="F29" s="18"/>
      <c r="G29" s="19" t="str">
        <f t="shared" ca="1" si="0"/>
        <v>Pending</v>
      </c>
      <c r="H29" s="21"/>
      <c r="I29" s="21">
        <f t="shared" si="1"/>
        <v>0</v>
      </c>
      <c r="J29" s="195">
        <v>0</v>
      </c>
      <c r="K29" s="22">
        <v>0</v>
      </c>
      <c r="L29" s="22">
        <f t="shared" si="12"/>
        <v>0</v>
      </c>
      <c r="M29" s="23" t="str">
        <f>IF(SUMPRODUCT($K$58:L$58,$K29:L29)&lt;0.5,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IF(SUMPRODUCT($K$58:O$58,$K29:O29)&lt;0.5,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IF(SUMPRODUCT($K$58:R$58,$K29:R29)&lt;0.5,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IF(SUMPRODUCT($K$58:U$58,$K29:U29)&lt;0.5,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IF(SUMPRODUCT($K$58:X$58,$K29:X29)&lt;0.5,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IF(SUMPRODUCT($K$58:AA$58,$K29:AA29)&lt;0.5,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IF(SUMPRODUCT($K$58:AD$58,$K29:AD29)&lt;0.5,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IF(SUMPRODUCT($K$58:AG$58,$K29:AG29)&lt;0.5,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IF(SUMPRODUCT($K$58:AJ$58,$K29:AJ29)&lt;0.5,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IF(SUMPRODUCT($K$58:AM$58,$K29:AM29)&lt;0.5,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IF(SUMPRODUCT($K$58:AP$58,$K29:AP29)&lt;0.5,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IF(SUMPRODUCT($K$58:AS$58,$K29:AS29)&lt;0.5,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IF(SUMPRODUCT($K$58:AV$58,$K29:AV29)&lt;0.5,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IF(SUMPRODUCT($K$58:AY$58,$K29:AY29)&lt;0.5,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IF(SUMPRODUCT($K$58:BB$58,$K29:BB29)&lt;0.5,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IF(SUMPRODUCT($K$58:BE$58,$K29:BE29)&lt;0.5,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IF(SUMPRODUCT($K$58:BH$58,$K29:BH29)&lt;0.5,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IF(SUMPRODUCT($K$58:BK$58,$K29:BK29)&lt;0.5,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IF(SUMPRODUCT($K$58:BN$58,$K29:BN29)&lt;0.5,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IF(SUMPRODUCT($K$58:BQ$58,$K29:BQ29)&lt;0.5,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IF(SUMPRODUCT($K$58:BT$58,$K29:BT29)&lt;0.5,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IF(SUMPRODUCT($K$58:BW$58,$K29:BW29)&lt;0.5,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IF(SUMPRODUCT($K$58:BZ$58,$K29:BZ29)&lt;0.5,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IF(SUMPRODUCT($K$58:CC$58,$K29:CC29)&lt;0.5,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IF(SUMPRODUCT($K$58:CF$58,$K29:CF29)&lt;0.5,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IF(SUMPRODUCT($K$58:CI$58,$K29:CI29)&lt;0.5,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IF(SUMPRODUCT($K$58:CL$58,$K29:CL29)&lt;0.5,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IF(SUMPRODUCT($K$58:CO$58,$K29:CO29)&lt;0.5,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IF(SUMPRODUCT($K$58:CR$58,$K29:CR29)&lt;0.5,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IF(SUMPRODUCT($K$58:CU$58,$K29:CU29)&lt;0.5,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IF(SUMPRODUCT($K$58:CX$58,$K29:CX29)&lt;0.5,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IF(SUMPRODUCT($K$58:DA$58,$K29:DA29)&lt;0.5,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IF(SUMPRODUCT($K$58:DD$58,$K29:DD29)&lt;0.5,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IF(SUMPRODUCT($K$58:DG$58,$K29:DG29)&lt;0.5,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IF(SUMPRODUCT($K$58:DJ$58,$K29:DJ29)&lt;0.5,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IF(SUMPRODUCT($K$58:DM$58,$K29:DM29)&lt;0.5,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IF(SUMPRODUCT($K$58:DP$58,$K29:DP29)&lt;0.5,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IF(SUMPRODUCT($K$58:DS$58,$K29:DS29)&lt;0.5,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IF(SUMPRODUCT($K$58:DV$58,$K29:DV29)&lt;0.5, "Pending", IF(DV29&lt;0.5, "Complete", "In Progress"))</f>
        <v>Pending</v>
      </c>
      <c r="DX29" s="22">
        <v>0</v>
      </c>
      <c r="DY29" s="22">
        <f t="shared" si="51"/>
        <v>0</v>
      </c>
      <c r="DZ29" s="23" t="str">
        <f>IF(SUMPRODUCT($K$58:DY$58,$K29:DY29)&lt;0.5, "Pending", IF(DY29&lt;0.5, "Complete", "In Progress"))</f>
        <v>Pending</v>
      </c>
      <c r="EA29" s="24"/>
      <c r="EB29" s="25">
        <f>SUMPRODUCT($I$58:DH$58,$I29:DH29)</f>
        <v>0</v>
      </c>
    </row>
    <row r="30" spans="1:132" ht="12.75" customHeight="1" x14ac:dyDescent="0.25">
      <c r="A30" s="16"/>
      <c r="B30" s="17"/>
      <c r="C30" s="186"/>
      <c r="D30" s="177"/>
      <c r="E30" s="169"/>
      <c r="F30" s="18"/>
      <c r="G30" s="19" t="str">
        <f t="shared" ca="1" si="0"/>
        <v>Pending</v>
      </c>
      <c r="H30" s="21"/>
      <c r="I30" s="21">
        <f t="shared" si="1"/>
        <v>0</v>
      </c>
      <c r="J30" s="195">
        <v>0</v>
      </c>
      <c r="K30" s="22">
        <v>0</v>
      </c>
      <c r="L30" s="22">
        <f t="shared" si="12"/>
        <v>0</v>
      </c>
      <c r="M30" s="23" t="str">
        <f>IF(SUMPRODUCT($K$58:L$58,$K30:L30)&lt;0.5,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IF(SUMPRODUCT($K$58:O$58,$K30:O30)&lt;0.5,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IF(SUMPRODUCT($K$58:R$58,$K30:R30)&lt;0.5,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IF(SUMPRODUCT($K$58:U$58,$K30:U30)&lt;0.5,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IF(SUMPRODUCT($K$58:X$58,$K30:X30)&lt;0.5,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IF(SUMPRODUCT($K$58:AA$58,$K30:AA30)&lt;0.5,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IF(SUMPRODUCT($K$58:AD$58,$K30:AD30)&lt;0.5,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IF(SUMPRODUCT($K$58:AG$58,$K30:AG30)&lt;0.5,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IF(SUMPRODUCT($K$58:AJ$58,$K30:AJ30)&lt;0.5,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IF(SUMPRODUCT($K$58:AM$58,$K30:AM30)&lt;0.5,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IF(SUMPRODUCT($K$58:AP$58,$K30:AP30)&lt;0.5,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IF(SUMPRODUCT($K$58:AS$58,$K30:AS30)&lt;0.5,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IF(SUMPRODUCT($K$58:AV$58,$K30:AV30)&lt;0.5,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IF(SUMPRODUCT($K$58:AY$58,$K30:AY30)&lt;0.5,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IF(SUMPRODUCT($K$58:BB$58,$K30:BB30)&lt;0.5,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IF(SUMPRODUCT($K$58:BE$58,$K30:BE30)&lt;0.5,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IF(SUMPRODUCT($K$58:BH$58,$K30:BH30)&lt;0.5,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IF(SUMPRODUCT($K$58:BK$58,$K30:BK30)&lt;0.5,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IF(SUMPRODUCT($K$58:BN$58,$K30:BN30)&lt;0.5,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IF(SUMPRODUCT($K$58:BQ$58,$K30:BQ30)&lt;0.5,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IF(SUMPRODUCT($K$58:BT$58,$K30:BT30)&lt;0.5,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IF(SUMPRODUCT($K$58:BW$58,$K30:BW30)&lt;0.5,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IF(SUMPRODUCT($K$58:BZ$58,$K30:BZ30)&lt;0.5,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IF(SUMPRODUCT($K$58:CC$58,$K30:CC30)&lt;0.5,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IF(SUMPRODUCT($K$58:CF$58,$K30:CF30)&lt;0.5,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IF(SUMPRODUCT($K$58:CI$58,$K30:CI30)&lt;0.5,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IF(SUMPRODUCT($K$58:CL$58,$K30:CL30)&lt;0.5,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IF(SUMPRODUCT($K$58:CO$58,$K30:CO30)&lt;0.5,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IF(SUMPRODUCT($K$58:CR$58,$K30:CR30)&lt;0.5,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IF(SUMPRODUCT($K$58:CU$58,$K30:CU30)&lt;0.5,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IF(SUMPRODUCT($K$58:CX$58,$K30:CX30)&lt;0.5,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IF(SUMPRODUCT($K$58:DA$58,$K30:DA30)&lt;0.5,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IF(SUMPRODUCT($K$58:DD$58,$K30:DD30)&lt;0.5,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IF(SUMPRODUCT($K$58:DG$58,$K30:DG30)&lt;0.5,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IF(SUMPRODUCT($K$58:DJ$58,$K30:DJ30)&lt;0.5,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IF(SUMPRODUCT($K$58:DM$58,$K30:DM30)&lt;0.5,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IF(SUMPRODUCT($K$58:DP$58,$K30:DP30)&lt;0.5,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IF(SUMPRODUCT($K$58:DS$58,$K30:DS30)&lt;0.5,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IF(SUMPRODUCT($K$58:DV$58,$K30:DV30)&lt;0.5, "Pending", IF(DV30&lt;0.5, "Complete", "In Progress"))</f>
        <v>Pending</v>
      </c>
      <c r="DX30" s="22">
        <v>0</v>
      </c>
      <c r="DY30" s="22">
        <f t="shared" si="51"/>
        <v>0</v>
      </c>
      <c r="DZ30" s="23" t="str">
        <f>IF(SUMPRODUCT($K$58:DY$58,$K30:DY30)&lt;0.5, "Pending", IF(DY30&lt;0.5, "Complete", "In Progress"))</f>
        <v>Pending</v>
      </c>
      <c r="EA30" s="24"/>
      <c r="EB30" s="25">
        <f>SUMPRODUCT($I$58:DH$58,$I30:DH30)</f>
        <v>0</v>
      </c>
    </row>
    <row r="31" spans="1:132" ht="12.75" customHeight="1" x14ac:dyDescent="0.25">
      <c r="A31" s="16"/>
      <c r="B31" s="17"/>
      <c r="C31" s="187"/>
      <c r="D31" s="177"/>
      <c r="E31" s="169"/>
      <c r="F31" s="18"/>
      <c r="G31" s="19" t="str">
        <f t="shared" ca="1" si="0"/>
        <v>Pending</v>
      </c>
      <c r="H31" s="21"/>
      <c r="I31" s="21">
        <f t="shared" si="1"/>
        <v>0</v>
      </c>
      <c r="J31" s="195">
        <v>0</v>
      </c>
      <c r="K31" s="22">
        <v>0</v>
      </c>
      <c r="L31" s="22">
        <f t="shared" si="12"/>
        <v>0</v>
      </c>
      <c r="M31" s="23" t="str">
        <f>IF(SUMPRODUCT($K$58:L$58,$K31:L31)&lt;0.5,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IF(SUMPRODUCT($K$58:O$58,$K31:O31)&lt;0.5,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IF(SUMPRODUCT($K$58:R$58,$K31:R31)&lt;0.5, "Pending", IF(R31&lt;0.5, "Complete", "In Progress"))</f>
        <v>Pending</v>
      </c>
      <c r="T31" s="22">
        <v>0</v>
      </c>
      <c r="U31" s="22">
        <f>MAX(R31-T31,0)</f>
        <v>0</v>
      </c>
      <c r="V31" s="23" t="str">
        <f>IF(SUMPRODUCT($K$58:U$58,$K31:U31)&lt;0.5,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IF(SUMPRODUCT($K$58:X$58,$K31:X31)&lt;0.5,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IF(SUMPRODUCT($K$58:AA$58,$K31:AA31)&lt;0.5,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IF(SUMPRODUCT($K$58:AD$58,$K31:AD31)&lt;0.5,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IF(SUMPRODUCT($K$58:AG$58,$K31:AG31)&lt;0.5,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IF(SUMPRODUCT($K$58:AJ$58,$K31:AJ31)&lt;0.5,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IF(SUMPRODUCT($K$58:AM$58,$K31:AM31)&lt;0.5,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IF(SUMPRODUCT($K$58:AP$58,$K31:AP31)&lt;0.5,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IF(SUMPRODUCT($K$58:AS$58,$K31:AS31)&lt;0.5,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IF(SUMPRODUCT($K$58:AV$58,$K31:AV31)&lt;0.5,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IF(SUMPRODUCT($K$58:AY$58,$K31:AY31)&lt;0.5,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IF(SUMPRODUCT($K$58:BB$58,$K31:BB31)&lt;0.5,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IF(SUMPRODUCT($K$58:BE$58,$K31:BE31)&lt;0.5,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IF(SUMPRODUCT($K$58:BH$58,$K31:BH31)&lt;0.5,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IF(SUMPRODUCT($K$58:BK$58,$K31:BK31)&lt;0.5,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IF(SUMPRODUCT($K$58:BN$58,$K31:BN31)&lt;0.5,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IF(SUMPRODUCT($K$58:BQ$58,$K31:BQ31)&lt;0.5,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IF(SUMPRODUCT($K$58:BT$58,$K31:BT31)&lt;0.5,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IF(SUMPRODUCT($K$58:BW$58,$K31:BW31)&lt;0.5,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IF(SUMPRODUCT($K$58:BZ$58,$K31:BZ31)&lt;0.5,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IF(SUMPRODUCT($K$58:CC$58,$K31:CC31)&lt;0.5,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IF(SUMPRODUCT($K$58:CF$58,$K31:CF31)&lt;0.5,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IF(SUMPRODUCT($K$58:CI$58,$K31:CI31)&lt;0.5,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IF(SUMPRODUCT($K$58:CL$58,$K31:CL31)&lt;0.5,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IF(SUMPRODUCT($K$58:CO$58,$K31:CO31)&lt;0.5,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IF(SUMPRODUCT($K$58:CR$58,$K31:CR31)&lt;0.5,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IF(SUMPRODUCT($K$58:CU$58,$K31:CU31)&lt;0.5,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IF(SUMPRODUCT($K$58:CX$58,$K31:CX31)&lt;0.5,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IF(SUMPRODUCT($K$58:DA$58,$K31:DA31)&lt;0.5,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IF(SUMPRODUCT($K$58:DD$58,$K31:DD31)&lt;0.5,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IF(SUMPRODUCT($K$58:DG$58,$K31:DG31)&lt;0.5,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IF(SUMPRODUCT($K$58:DJ$58,$K31:DJ31)&lt;0.5,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IF(SUMPRODUCT($K$58:DM$58,$K31:DM31)&lt;0.5,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IF(SUMPRODUCT($K$58:DP$58,$K31:DP31)&lt;0.5,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IF(SUMPRODUCT($K$58:DS$58,$K31:DS31)&lt;0.5,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IF(SUMPRODUCT($K$58:DV$58,$K31:DV31)&lt;0.5, "Pending", IF(DV31&lt;0.5, "Complete", "In Progress"))</f>
        <v>Pending</v>
      </c>
      <c r="DX31" s="22">
        <v>0</v>
      </c>
      <c r="DY31" s="22">
        <f t="shared" si="51"/>
        <v>0</v>
      </c>
      <c r="DZ31" s="23" t="str">
        <f>IF(SUMPRODUCT($K$58:DY$58,$K31:DY31)&lt;0.5, "Pending", IF(DY31&lt;0.5, "Complete", "In Progress"))</f>
        <v>Pending</v>
      </c>
      <c r="EA31" s="24"/>
      <c r="EB31" s="25">
        <f>SUMPRODUCT($I$58:DH$58,$I31:DH31)</f>
        <v>0</v>
      </c>
    </row>
    <row r="32" spans="1:132" ht="12.75" customHeight="1" x14ac:dyDescent="0.25">
      <c r="A32" s="16"/>
      <c r="B32" s="17"/>
      <c r="C32" s="187"/>
      <c r="D32" s="177"/>
      <c r="E32" s="169"/>
      <c r="F32" s="18"/>
      <c r="G32" s="19" t="str">
        <f t="shared" ca="1" si="0"/>
        <v>Pending</v>
      </c>
      <c r="H32" s="21"/>
      <c r="I32" s="21">
        <f t="shared" si="1"/>
        <v>0</v>
      </c>
      <c r="J32" s="195">
        <v>0</v>
      </c>
      <c r="K32" s="22">
        <v>0</v>
      </c>
      <c r="L32" s="22">
        <f t="shared" si="12"/>
        <v>0</v>
      </c>
      <c r="M32" s="23" t="str">
        <f>IF(SUMPRODUCT($K$58:L$58,$K32:L32)&lt;0.5,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IF(SUMPRODUCT($K$58:O$58,$K32:O32)&lt;0.5,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IF(SUMPRODUCT($K$58:R$58,$K32:R32)&lt;0.5,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IF(SUMPRODUCT($K$58:U$58,$K32:U32)&lt;0.5,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IF(SUMPRODUCT($K$58:X$58,$K32:X32)&lt;0.5,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IF(SUMPRODUCT($K$58:AA$58,$K32:AA32)&lt;0.5,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IF(SUMPRODUCT($K$58:AD$58,$K32:AD32)&lt;0.5,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IF(SUMPRODUCT($K$58:AG$58,$K32:AG32)&lt;0.5,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IF(SUMPRODUCT($K$58:AJ$58,$K32:AJ32)&lt;0.5,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IF(SUMPRODUCT($K$58:AM$58,$K32:AM32)&lt;0.5,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IF(SUMPRODUCT($K$58:AP$58,$K32:AP32)&lt;0.5,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IF(SUMPRODUCT($K$58:AS$58,$K32:AS32)&lt;0.5,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IF(SUMPRODUCT($K$58:AV$58,$K32:AV32)&lt;0.5,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IF(SUMPRODUCT($K$58:AY$58,$K32:AY32)&lt;0.5,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IF(SUMPRODUCT($K$58:BB$58,$K32:BB32)&lt;0.5,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IF(SUMPRODUCT($K$58:BE$58,$K32:BE32)&lt;0.5,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IF(SUMPRODUCT($K$58:BH$58,$K32:BH32)&lt;0.5,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IF(SUMPRODUCT($K$58:BK$58,$K32:BK32)&lt;0.5,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IF(SUMPRODUCT($K$58:BN$58,$K32:BN32)&lt;0.5,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IF(SUMPRODUCT($K$58:BQ$58,$K32:BQ32)&lt;0.5,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IF(SUMPRODUCT($K$58:BT$58,$K32:BT32)&lt;0.5,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IF(SUMPRODUCT($K$58:BW$58,$K32:BW32)&lt;0.5,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IF(SUMPRODUCT($K$58:BZ$58,$K32:BZ32)&lt;0.5,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IF(SUMPRODUCT($K$58:CC$58,$K32:CC32)&lt;0.5,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IF(SUMPRODUCT($K$58:CF$58,$K32:CF32)&lt;0.5,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IF(SUMPRODUCT($K$58:CI$58,$K32:CI32)&lt;0.5,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IF(SUMPRODUCT($K$58:CL$58,$K32:CL32)&lt;0.5,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IF(SUMPRODUCT($K$58:CO$58,$K32:CO32)&lt;0.5,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IF(SUMPRODUCT($K$58:CR$58,$K32:CR32)&lt;0.5,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IF(SUMPRODUCT($K$58:CU$58,$K32:CU32)&lt;0.5,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IF(SUMPRODUCT($K$58:CX$58,$K32:CX32)&lt;0.5,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IF(SUMPRODUCT($K$58:DA$58,$K32:DA32)&lt;0.5,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IF(SUMPRODUCT($K$58:DD$58,$K32:DD32)&lt;0.5,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IF(SUMPRODUCT($K$58:DG$58,$K32:DG32)&lt;0.5,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IF(SUMPRODUCT($K$58:DJ$58,$K32:DJ32)&lt;0.5,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IF(SUMPRODUCT($K$58:DM$58,$K32:DM32)&lt;0.5,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IF(SUMPRODUCT($K$58:DP$58,$K32:DP32)&lt;0.5,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IF(SUMPRODUCT($K$58:DS$58,$K32:DS32)&lt;0.5,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IF(SUMPRODUCT($K$58:DV$58,$K32:DV32)&lt;0.5, "Pending", IF(DV32&lt;0.5, "Complete", "In Progress"))</f>
        <v>Pending</v>
      </c>
      <c r="DX32" s="22">
        <v>0</v>
      </c>
      <c r="DY32" s="22">
        <f t="shared" si="51"/>
        <v>0</v>
      </c>
      <c r="DZ32" s="23" t="str">
        <f>IF(SUMPRODUCT($K$58:DY$58,$K32:DY32)&lt;0.5, "Pending", IF(DY32&lt;0.5, "Complete", "In Progress"))</f>
        <v>Pending</v>
      </c>
      <c r="EA32" s="24"/>
      <c r="EB32" s="25">
        <f>SUMPRODUCT($I$58:DH$58,$I32:DH32)</f>
        <v>0</v>
      </c>
    </row>
    <row r="33" spans="1:132" ht="12.75" customHeight="1" x14ac:dyDescent="0.25">
      <c r="A33" s="16"/>
      <c r="B33" s="17"/>
      <c r="C33" s="187"/>
      <c r="D33" s="177"/>
      <c r="E33" s="169"/>
      <c r="F33" s="18"/>
      <c r="G33" s="19" t="str">
        <f t="shared" ca="1" si="0"/>
        <v>Pending</v>
      </c>
      <c r="H33" s="21"/>
      <c r="I33" s="21">
        <f t="shared" si="1"/>
        <v>0</v>
      </c>
      <c r="J33" s="195">
        <v>0</v>
      </c>
      <c r="K33" s="22">
        <v>0</v>
      </c>
      <c r="L33" s="22">
        <f t="shared" si="12"/>
        <v>0</v>
      </c>
      <c r="M33" s="23" t="str">
        <f>IF(SUMPRODUCT($K$58:L$58,$K33:L33)&lt;0.5,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IF(SUMPRODUCT($K$58:O$58,$K33:O33)&lt;0.5,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IF(SUMPRODUCT($K$58:R$58,$K33:R33)&lt;0.5,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IF(SUMPRODUCT($K$58:U$58,$K33:U33)&lt;0.5,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IF(SUMPRODUCT($K$58:X$58,$K33:X33)&lt;0.5,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IF(SUMPRODUCT($K$58:AA$58,$K33:AA33)&lt;0.5,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IF(SUMPRODUCT($K$58:AD$58,$K33:AD33)&lt;0.5,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IF(SUMPRODUCT($K$58:AG$58,$K33:AG33)&lt;0.5,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IF(SUMPRODUCT($K$58:AJ$58,$K33:AJ33)&lt;0.5,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IF(SUMPRODUCT($K$58:AM$58,$K33:AM33)&lt;0.5,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IF(SUMPRODUCT($K$58:AP$58,$K33:AP33)&lt;0.5,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IF(SUMPRODUCT($K$58:AS$58,$K33:AS33)&lt;0.5,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IF(SUMPRODUCT($K$58:AV$58,$K33:AV33)&lt;0.5,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IF(SUMPRODUCT($K$58:AY$58,$K33:AY33)&lt;0.5,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IF(SUMPRODUCT($K$58:BB$58,$K33:BB33)&lt;0.5,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IF(SUMPRODUCT($K$58:BE$58,$K33:BE33)&lt;0.5,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IF(SUMPRODUCT($K$58:BH$58,$K33:BH33)&lt;0.5,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IF(SUMPRODUCT($K$58:BK$58,$K33:BK33)&lt;0.5,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IF(SUMPRODUCT($K$58:BN$58,$K33:BN33)&lt;0.5,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IF(SUMPRODUCT($K$58:BQ$58,$K33:BQ33)&lt;0.5,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IF(SUMPRODUCT($K$58:BT$58,$K33:BT33)&lt;0.5,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IF(SUMPRODUCT($K$58:BW$58,$K33:BW33)&lt;0.5,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IF(SUMPRODUCT($K$58:BZ$58,$K33:BZ33)&lt;0.5,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IF(SUMPRODUCT($K$58:CC$58,$K33:CC33)&lt;0.5,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IF(SUMPRODUCT($K$58:CF$58,$K33:CF33)&lt;0.5,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IF(SUMPRODUCT($K$58:CI$58,$K33:CI33)&lt;0.5,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IF(SUMPRODUCT($K$58:CL$58,$K33:CL33)&lt;0.5,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IF(SUMPRODUCT($K$58:CO$58,$K33:CO33)&lt;0.5,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IF(SUMPRODUCT($K$58:CR$58,$K33:CR33)&lt;0.5,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IF(SUMPRODUCT($K$58:CU$58,$K33:CU33)&lt;0.5,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IF(SUMPRODUCT($K$58:CX$58,$K33:CX33)&lt;0.5,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IF(SUMPRODUCT($K$58:DA$58,$K33:DA33)&lt;0.5,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IF(SUMPRODUCT($K$58:DD$58,$K33:DD33)&lt;0.5,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IF(SUMPRODUCT($K$58:DG$58,$K33:DG33)&lt;0.5,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IF(SUMPRODUCT($K$58:DJ$58,$K33:DJ33)&lt;0.5,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IF(SUMPRODUCT($K$58:DM$58,$K33:DM33)&lt;0.5,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IF(SUMPRODUCT($K$58:DP$58,$K33:DP33)&lt;0.5,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IF(SUMPRODUCT($K$58:DS$58,$K33:DS33)&lt;0.5,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IF(SUMPRODUCT($K$58:DV$58,$K33:DV33)&lt;0.5, "Pending", IF(DV33&lt;0.5, "Complete", "In Progress"))</f>
        <v>Pending</v>
      </c>
      <c r="DX33" s="22">
        <v>0</v>
      </c>
      <c r="DY33" s="22">
        <f t="shared" si="51"/>
        <v>0</v>
      </c>
      <c r="DZ33" s="23" t="str">
        <f>IF(SUMPRODUCT($K$58:DY$58,$K33:DY33)&lt;0.5, "Pending", IF(DY33&lt;0.5, "Complete", "In Progress"))</f>
        <v>Pending</v>
      </c>
      <c r="EA33" s="24"/>
      <c r="EB33" s="25">
        <f>SUMPRODUCT($I$58:DH$58,$I33:DH33)</f>
        <v>0</v>
      </c>
    </row>
    <row r="34" spans="1:132" ht="12.75" customHeight="1" x14ac:dyDescent="0.25">
      <c r="A34" s="16"/>
      <c r="B34" s="17"/>
      <c r="C34" s="187"/>
      <c r="D34" s="177"/>
      <c r="E34" s="169"/>
      <c r="F34" s="18"/>
      <c r="G34" s="19" t="str">
        <f t="shared" ca="1" si="0"/>
        <v>Pending</v>
      </c>
      <c r="H34" s="21"/>
      <c r="I34" s="21">
        <f t="shared" si="1"/>
        <v>0</v>
      </c>
      <c r="J34" s="195">
        <v>0</v>
      </c>
      <c r="K34" s="22">
        <v>0</v>
      </c>
      <c r="L34" s="22">
        <f t="shared" si="12"/>
        <v>0</v>
      </c>
      <c r="M34" s="23" t="str">
        <f>IF(SUMPRODUCT($K$58:L$58,$K34:L34)&lt;0.5,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IF(SUMPRODUCT($K$58:O$58,$K34:O34)&lt;0.5,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IF(SUMPRODUCT($K$58:R$58,$K34:R34)&lt;0.5,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IF(SUMPRODUCT($K$58:U$58,$K34:U34)&lt;0.5,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IF(SUMPRODUCT($K$58:X$58,$K34:X34)&lt;0.5,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IF(SUMPRODUCT($K$58:AA$58,$K34:AA34)&lt;0.5,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IF(SUMPRODUCT($K$58:AD$58,$K34:AD34)&lt;0.5,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IF(SUMPRODUCT($K$58:AG$58,$K34:AG34)&lt;0.5,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IF(SUMPRODUCT($K$58:AJ$58,$K34:AJ34)&lt;0.5,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IF(SUMPRODUCT($K$58:AM$58,$K34:AM34)&lt;0.5,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IF(SUMPRODUCT($K$58:AP$58,$K34:AP34)&lt;0.5,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IF(SUMPRODUCT($K$58:AS$58,$K34:AS34)&lt;0.5,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IF(SUMPRODUCT($K$58:AV$58,$K34:AV34)&lt;0.5,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IF(SUMPRODUCT($K$58:AY$58,$K34:AY34)&lt;0.5,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IF(SUMPRODUCT($K$58:BB$58,$K34:BB34)&lt;0.5,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IF(SUMPRODUCT($K$58:BE$58,$K34:BE34)&lt;0.5,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IF(SUMPRODUCT($K$58:BH$58,$K34:BH34)&lt;0.5,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IF(SUMPRODUCT($K$58:BK$58,$K34:BK34)&lt;0.5,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IF(SUMPRODUCT($K$58:BN$58,$K34:BN34)&lt;0.5,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IF(SUMPRODUCT($K$58:BQ$58,$K34:BQ34)&lt;0.5,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IF(SUMPRODUCT($K$58:BT$58,$K34:BT34)&lt;0.5,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IF(SUMPRODUCT($K$58:BW$58,$K34:BW34)&lt;0.5,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IF(SUMPRODUCT($K$58:BZ$58,$K34:BZ34)&lt;0.5,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IF(SUMPRODUCT($K$58:CC$58,$K34:CC34)&lt;0.5,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IF(SUMPRODUCT($K$58:CF$58,$K34:CF34)&lt;0.5,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IF(SUMPRODUCT($K$58:CI$58,$K34:CI34)&lt;0.5,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IF(SUMPRODUCT($K$58:CL$58,$K34:CL34)&lt;0.5,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IF(SUMPRODUCT($K$58:CO$58,$K34:CO34)&lt;0.5,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IF(SUMPRODUCT($K$58:CR$58,$K34:CR34)&lt;0.5,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IF(SUMPRODUCT($K$58:CU$58,$K34:CU34)&lt;0.5,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IF(SUMPRODUCT($K$58:CX$58,$K34:CX34)&lt;0.5,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IF(SUMPRODUCT($K$58:DA$58,$K34:DA34)&lt;0.5,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IF(SUMPRODUCT($K$58:DD$58,$K34:DD34)&lt;0.5,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IF(SUMPRODUCT($K$58:DG$58,$K34:DG34)&lt;0.5,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IF(SUMPRODUCT($K$58:DJ$58,$K34:DJ34)&lt;0.5,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IF(SUMPRODUCT($K$58:DM$58,$K34:DM34)&lt;0.5,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IF(SUMPRODUCT($K$58:DP$58,$K34:DP34)&lt;0.5,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IF(SUMPRODUCT($K$58:DS$58,$K34:DS34)&lt;0.5,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IF(SUMPRODUCT($K$58:DV$58,$K34:DV34)&lt;0.5, "Pending", IF(DV34&lt;0.5, "Complete", "In Progress"))</f>
        <v>Pending</v>
      </c>
      <c r="DX34" s="22">
        <v>0</v>
      </c>
      <c r="DY34" s="22">
        <f t="shared" si="51"/>
        <v>0</v>
      </c>
      <c r="DZ34" s="23" t="str">
        <f>IF(SUMPRODUCT($K$58:DY$58,$K34:DY34)&lt;0.5, "Pending", IF(DY34&lt;0.5, "Complete", "In Progress"))</f>
        <v>Pending</v>
      </c>
      <c r="EA34" s="24"/>
      <c r="EB34" s="25">
        <f>SUMPRODUCT($I$58:DH$58,$I34:DH34)</f>
        <v>0</v>
      </c>
    </row>
    <row r="35" spans="1:132" ht="12.75" customHeight="1" x14ac:dyDescent="0.25">
      <c r="A35" s="16"/>
      <c r="B35" s="17"/>
      <c r="C35" s="187"/>
      <c r="D35" s="177"/>
      <c r="E35" s="169"/>
      <c r="F35" s="18"/>
      <c r="G35" s="19" t="str">
        <f t="shared" ca="1" si="0"/>
        <v>Pending</v>
      </c>
      <c r="H35" s="21"/>
      <c r="I35" s="21">
        <f t="shared" si="1"/>
        <v>0</v>
      </c>
      <c r="J35" s="195">
        <v>0</v>
      </c>
      <c r="K35" s="22">
        <v>0</v>
      </c>
      <c r="L35" s="22">
        <f t="shared" si="12"/>
        <v>0</v>
      </c>
      <c r="M35" s="23" t="str">
        <f>IF(SUMPRODUCT($K$58:L$58,$K35:L35)&lt;0.5,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IF(SUMPRODUCT($K$58:O$58,$K35:O35)&lt;0.5,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IF(SUMPRODUCT($K$58:R$58,$K35:R35)&lt;0.5,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IF(SUMPRODUCT($K$58:U$58,$K35:U35)&lt;0.5,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IF(SUMPRODUCT($K$58:X$58,$K35:X35)&lt;0.5,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IF(SUMPRODUCT($K$58:AA$58,$K35:AA35)&lt;0.5,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IF(SUMPRODUCT($K$58:AD$58,$K35:AD35)&lt;0.5,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IF(SUMPRODUCT($K$58:AG$58,$K35:AG35)&lt;0.5,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IF(SUMPRODUCT($K$58:AJ$58,$K35:AJ35)&lt;0.5,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IF(SUMPRODUCT($K$58:AM$58,$K35:AM35)&lt;0.5,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IF(SUMPRODUCT($K$58:AP$58,$K35:AP35)&lt;0.5,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IF(SUMPRODUCT($K$58:AS$58,$K35:AS35)&lt;0.5,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IF(SUMPRODUCT($K$58:AV$58,$K35:AV35)&lt;0.5,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IF(SUMPRODUCT($K$58:AY$58,$K35:AY35)&lt;0.5,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IF(SUMPRODUCT($K$58:BB$58,$K35:BB35)&lt;0.5,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IF(SUMPRODUCT($K$58:BE$58,$K35:BE35)&lt;0.5,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IF(SUMPRODUCT($K$58:BH$58,$K35:BH35)&lt;0.5,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IF(SUMPRODUCT($K$58:BK$58,$K35:BK35)&lt;0.5,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IF(SUMPRODUCT($K$58:BN$58,$K35:BN35)&lt;0.5,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IF(SUMPRODUCT($K$58:BQ$58,$K35:BQ35)&lt;0.5,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IF(SUMPRODUCT($K$58:BT$58,$K35:BT35)&lt;0.5,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IF(SUMPRODUCT($K$58:BW$58,$K35:BW35)&lt;0.5,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IF(SUMPRODUCT($K$58:BZ$58,$K35:BZ35)&lt;0.5,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IF(SUMPRODUCT($K$58:CC$58,$K35:CC35)&lt;0.5,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IF(SUMPRODUCT($K$58:CF$58,$K35:CF35)&lt;0.5,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IF(SUMPRODUCT($K$58:CI$58,$K35:CI35)&lt;0.5,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IF(SUMPRODUCT($K$58:CL$58,$K35:CL35)&lt;0.5,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IF(SUMPRODUCT($K$58:CO$58,$K35:CO35)&lt;0.5,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IF(SUMPRODUCT($K$58:CR$58,$K35:CR35)&lt;0.5,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IF(SUMPRODUCT($K$58:CU$58,$K35:CU35)&lt;0.5,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IF(SUMPRODUCT($K$58:CX$58,$K35:CX35)&lt;0.5,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IF(SUMPRODUCT($K$58:DA$58,$K35:DA35)&lt;0.5,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IF(SUMPRODUCT($K$58:DD$58,$K35:DD35)&lt;0.5,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IF(SUMPRODUCT($K$58:DG$58,$K35:DG35)&lt;0.5,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IF(SUMPRODUCT($K$58:DJ$58,$K35:DJ35)&lt;0.5,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IF(SUMPRODUCT($K$58:DM$58,$K35:DM35)&lt;0.5,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IF(SUMPRODUCT($K$58:DP$58,$K35:DP35)&lt;0.5,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IF(SUMPRODUCT($K$58:DS$58,$K35:DS35)&lt;0.5,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IF(SUMPRODUCT($K$58:DV$58,$K35:DV35)&lt;0.5, "Pending", IF(DV35&lt;0.5, "Complete", "In Progress"))</f>
        <v>Pending</v>
      </c>
      <c r="DX35" s="22">
        <v>0</v>
      </c>
      <c r="DY35" s="22">
        <f t="shared" si="51"/>
        <v>0</v>
      </c>
      <c r="DZ35" s="23" t="str">
        <f>IF(SUMPRODUCT($K$58:DY$58,$K35:DY35)&lt;0.5, "Pending", IF(DY35&lt;0.5, "Complete", "In Progress"))</f>
        <v>Pending</v>
      </c>
      <c r="EA35" s="24"/>
      <c r="EB35" s="25">
        <f>SUMPRODUCT($I$58:DH$58,$I35:DH35)</f>
        <v>0</v>
      </c>
    </row>
    <row r="36" spans="1:132" ht="12.75" customHeight="1" x14ac:dyDescent="0.25">
      <c r="A36" s="16"/>
      <c r="B36" s="17"/>
      <c r="C36" s="187"/>
      <c r="D36" s="177"/>
      <c r="E36" s="169"/>
      <c r="F36" s="18"/>
      <c r="G36" s="19" t="str">
        <f t="shared" ca="1" si="0"/>
        <v>Pending</v>
      </c>
      <c r="H36" s="21"/>
      <c r="I36" s="21">
        <f t="shared" si="1"/>
        <v>0</v>
      </c>
      <c r="J36" s="195">
        <v>0</v>
      </c>
      <c r="K36" s="22">
        <v>0</v>
      </c>
      <c r="L36" s="22">
        <f t="shared" si="12"/>
        <v>0</v>
      </c>
      <c r="M36" s="23" t="str">
        <f>IF(SUMPRODUCT($K$58:L$58,$K36:L36)&lt;0.5,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IF(SUMPRODUCT($K$58:O$58,$K36:O36)&lt;0.5,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IF(SUMPRODUCT($K$58:R$58,$K36:R36)&lt;0.5,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IF(SUMPRODUCT($K$58:U$58,$K36:U36)&lt;0.5,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IF(SUMPRODUCT($K$58:X$58,$K36:X36)&lt;0.5,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IF(SUMPRODUCT($K$58:AA$58,$K36:AA36)&lt;0.5,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IF(SUMPRODUCT($K$58:AD$58,$K36:AD36)&lt;0.5,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IF(SUMPRODUCT($K$58:AG$58,$K36:AG36)&lt;0.5,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IF(SUMPRODUCT($K$58:AJ$58,$K36:AJ36)&lt;0.5,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IF(SUMPRODUCT($K$58:AM$58,$K36:AM36)&lt;0.5,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IF(SUMPRODUCT($K$58:AP$58,$K36:AP36)&lt;0.5,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IF(SUMPRODUCT($K$58:AS$58,$K36:AS36)&lt;0.5,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IF(SUMPRODUCT($K$58:AV$58,$K36:AV36)&lt;0.5,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IF(SUMPRODUCT($K$58:AY$58,$K36:AY36)&lt;0.5,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IF(SUMPRODUCT($K$58:BB$58,$K36:BB36)&lt;0.5,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IF(SUMPRODUCT($K$58:BE$58,$K36:BE36)&lt;0.5,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IF(SUMPRODUCT($K$58:BH$58,$K36:BH36)&lt;0.5,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IF(SUMPRODUCT($K$58:BK$58,$K36:BK36)&lt;0.5,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IF(SUMPRODUCT($K$58:BN$58,$K36:BN36)&lt;0.5,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IF(SUMPRODUCT($K$58:BQ$58,$K36:BQ36)&lt;0.5,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IF(SUMPRODUCT($K$58:BT$58,$K36:BT36)&lt;0.5,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IF(SUMPRODUCT($K$58:BW$58,$K36:BW36)&lt;0.5,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IF(SUMPRODUCT($K$58:BZ$58,$K36:BZ36)&lt;0.5,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IF(SUMPRODUCT($K$58:CC$58,$K36:CC36)&lt;0.5,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IF(SUMPRODUCT($K$58:CF$58,$K36:CF36)&lt;0.5,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IF(SUMPRODUCT($K$58:CI$58,$K36:CI36)&lt;0.5,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IF(SUMPRODUCT($K$58:CL$58,$K36:CL36)&lt;0.5,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IF(SUMPRODUCT($K$58:CO$58,$K36:CO36)&lt;0.5,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IF(SUMPRODUCT($K$58:CR$58,$K36:CR36)&lt;0.5,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IF(SUMPRODUCT($K$58:CU$58,$K36:CU36)&lt;0.5,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IF(SUMPRODUCT($K$58:CX$58,$K36:CX36)&lt;0.5,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IF(SUMPRODUCT($K$58:DA$58,$K36:DA36)&lt;0.5,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IF(SUMPRODUCT($K$58:DD$58,$K36:DD36)&lt;0.5,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IF(SUMPRODUCT($K$58:DG$58,$K36:DG36)&lt;0.5,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IF(SUMPRODUCT($K$58:DJ$58,$K36:DJ36)&lt;0.5,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IF(SUMPRODUCT($K$58:DM$58,$K36:DM36)&lt;0.5,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IF(SUMPRODUCT($K$58:DP$58,$K36:DP36)&lt;0.5,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IF(SUMPRODUCT($K$58:DS$58,$K36:DS36)&lt;0.5,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IF(SUMPRODUCT($K$58:DV$58,$K36:DV36)&lt;0.5, "Pending", IF(DV36&lt;0.5, "Complete", "In Progress"))</f>
        <v>Pending</v>
      </c>
      <c r="DX36" s="22">
        <v>0</v>
      </c>
      <c r="DY36" s="22">
        <f t="shared" si="51"/>
        <v>0</v>
      </c>
      <c r="DZ36" s="23" t="str">
        <f>IF(SUMPRODUCT($K$58:DY$58,$K36:DY36)&lt;0.5, "Pending", IF(DY36&lt;0.5, "Complete", "In Progress"))</f>
        <v>Pending</v>
      </c>
      <c r="EA36" s="24"/>
      <c r="EB36" s="25">
        <f>SUMPRODUCT($I$58:DH$58,$I36:DH36)</f>
        <v>0</v>
      </c>
    </row>
    <row r="37" spans="1:132" ht="12.75" customHeight="1" x14ac:dyDescent="0.25">
      <c r="A37" s="16"/>
      <c r="B37" s="17"/>
      <c r="C37" s="187"/>
      <c r="D37" s="177"/>
      <c r="E37" s="169"/>
      <c r="F37" s="18"/>
      <c r="G37" s="19" t="str">
        <f t="shared" ca="1" si="0"/>
        <v>Pending</v>
      </c>
      <c r="H37" s="21"/>
      <c r="I37" s="21">
        <f t="shared" si="1"/>
        <v>0</v>
      </c>
      <c r="J37" s="195">
        <v>0</v>
      </c>
      <c r="K37" s="22">
        <v>0</v>
      </c>
      <c r="L37" s="22">
        <f t="shared" si="12"/>
        <v>0</v>
      </c>
      <c r="M37" s="23" t="str">
        <f>IF(SUMPRODUCT($K$58:L$58,$K37:L37)&lt;0.5,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IF(SUMPRODUCT($K$58:O$58,$K37:O37)&lt;0.5,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IF(SUMPRODUCT($K$58:R$58,$K37:R37)&lt;0.5,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IF(SUMPRODUCT($K$58:U$58,$K37:U37)&lt;0.5,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IF(SUMPRODUCT($K$58:X$58,$K37:X37)&lt;0.5,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IF(SUMPRODUCT($K$58:AA$58,$K37:AA37)&lt;0.5,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IF(SUMPRODUCT($K$58:AD$58,$K37:AD37)&lt;0.5,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IF(SUMPRODUCT($K$58:AG$58,$K37:AG37)&lt;0.5,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IF(SUMPRODUCT($K$58:AJ$58,$K37:AJ37)&lt;0.5,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IF(SUMPRODUCT($K$58:AM$58,$K37:AM37)&lt;0.5,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IF(SUMPRODUCT($K$58:AP$58,$K37:AP37)&lt;0.5,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IF(SUMPRODUCT($K$58:AS$58,$K37:AS37)&lt;0.5,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IF(SUMPRODUCT($K$58:AV$58,$K37:AV37)&lt;0.5,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IF(SUMPRODUCT($K$58:AY$58,$K37:AY37)&lt;0.5,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IF(SUMPRODUCT($K$58:BB$58,$K37:BB37)&lt;0.5,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IF(SUMPRODUCT($K$58:BE$58,$K37:BE37)&lt;0.5,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IF(SUMPRODUCT($K$58:BH$58,$K37:BH37)&lt;0.5,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IF(SUMPRODUCT($K$58:BK$58,$K37:BK37)&lt;0.5,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IF(SUMPRODUCT($K$58:BN$58,$K37:BN37)&lt;0.5,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IF(SUMPRODUCT($K$58:BQ$58,$K37:BQ37)&lt;0.5,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IF(SUMPRODUCT($K$58:BT$58,$K37:BT37)&lt;0.5,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IF(SUMPRODUCT($K$58:BW$58,$K37:BW37)&lt;0.5,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IF(SUMPRODUCT($K$58:BZ$58,$K37:BZ37)&lt;0.5,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IF(SUMPRODUCT($K$58:CC$58,$K37:CC37)&lt;0.5,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IF(SUMPRODUCT($K$58:CF$58,$K37:CF37)&lt;0.5,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IF(SUMPRODUCT($K$58:CI$58,$K37:CI37)&lt;0.5,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IF(SUMPRODUCT($K$58:CL$58,$K37:CL37)&lt;0.5,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IF(SUMPRODUCT($K$58:CO$58,$K37:CO37)&lt;0.5,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IF(SUMPRODUCT($K$58:CR$58,$K37:CR37)&lt;0.5,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IF(SUMPRODUCT($K$58:CU$58,$K37:CU37)&lt;0.5,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IF(SUMPRODUCT($K$58:CX$58,$K37:CX37)&lt;0.5,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IF(SUMPRODUCT($K$58:DA$58,$K37:DA37)&lt;0.5,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IF(SUMPRODUCT($K$58:DD$58,$K37:DD37)&lt;0.5,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IF(SUMPRODUCT($K$58:DG$58,$K37:DG37)&lt;0.5,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IF(SUMPRODUCT($K$58:DJ$58,$K37:DJ37)&lt;0.5,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IF(SUMPRODUCT($K$58:DM$58,$K37:DM37)&lt;0.5,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IF(SUMPRODUCT($K$58:DP$58,$K37:DP37)&lt;0.5,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IF(SUMPRODUCT($K$58:DS$58,$K37:DS37)&lt;0.5,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IF(SUMPRODUCT($K$58:DV$58,$K37:DV37)&lt;0.5, "Pending", IF(DV37&lt;0.5, "Complete", "In Progress"))</f>
        <v>Pending</v>
      </c>
      <c r="DX37" s="22">
        <v>0</v>
      </c>
      <c r="DY37" s="22">
        <f t="shared" si="51"/>
        <v>0</v>
      </c>
      <c r="DZ37" s="23" t="str">
        <f>IF(SUMPRODUCT($K$58:DY$58,$K37:DY37)&lt;0.5, "Pending", IF(DY37&lt;0.5, "Complete", "In Progress"))</f>
        <v>Pending</v>
      </c>
      <c r="EA37" s="24"/>
      <c r="EB37" s="25">
        <f>SUMPRODUCT($I$58:DH$58,$I37:DH37)</f>
        <v>0</v>
      </c>
    </row>
    <row r="38" spans="1:132" ht="12.75" customHeight="1" x14ac:dyDescent="0.25">
      <c r="A38" s="16"/>
      <c r="B38" s="17"/>
      <c r="C38" s="187"/>
      <c r="D38" s="177"/>
      <c r="E38" s="169"/>
      <c r="F38" s="18"/>
      <c r="G38" s="19" t="str">
        <f t="shared" ca="1" si="0"/>
        <v>Pending</v>
      </c>
      <c r="H38" s="21"/>
      <c r="I38" s="21">
        <f t="shared" si="1"/>
        <v>0</v>
      </c>
      <c r="J38" s="195">
        <v>0</v>
      </c>
      <c r="K38" s="22">
        <v>0</v>
      </c>
      <c r="L38" s="22">
        <f t="shared" si="12"/>
        <v>0</v>
      </c>
      <c r="M38" s="23" t="str">
        <f>IF(SUMPRODUCT($K$58:L$58,$K38:L38)&lt;0.5,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IF(SUMPRODUCT($K$58:O$58,$K38:O38)&lt;0.5,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IF(SUMPRODUCT($K$58:R$58,$K38:R38)&lt;0.5,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IF(SUMPRODUCT($K$58:U$58,$K38:U38)&lt;0.5,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IF(SUMPRODUCT($K$58:X$58,$K38:X38)&lt;0.5,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IF(SUMPRODUCT($K$58:AA$58,$K38:AA38)&lt;0.5,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IF(SUMPRODUCT($K$58:AD$58,$K38:AD38)&lt;0.5,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IF(SUMPRODUCT($K$58:AG$58,$K38:AG38)&lt;0.5,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IF(SUMPRODUCT($K$58:AJ$58,$K38:AJ38)&lt;0.5,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IF(SUMPRODUCT($K$58:AM$58,$K38:AM38)&lt;0.5,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IF(SUMPRODUCT($K$58:AP$58,$K38:AP38)&lt;0.5,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IF(SUMPRODUCT($K$58:AS$58,$K38:AS38)&lt;0.5,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IF(SUMPRODUCT($K$58:AV$58,$K38:AV38)&lt;0.5,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IF(SUMPRODUCT($K$58:AY$58,$K38:AY38)&lt;0.5,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IF(SUMPRODUCT($K$58:BB$58,$K38:BB38)&lt;0.5,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IF(SUMPRODUCT($K$58:BE$58,$K38:BE38)&lt;0.5,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IF(SUMPRODUCT($K$58:BH$58,$K38:BH38)&lt;0.5,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IF(SUMPRODUCT($K$58:BK$58,$K38:BK38)&lt;0.5,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IF(SUMPRODUCT($K$58:BN$58,$K38:BN38)&lt;0.5,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IF(SUMPRODUCT($K$58:BQ$58,$K38:BQ38)&lt;0.5,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IF(SUMPRODUCT($K$58:BT$58,$K38:BT38)&lt;0.5,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IF(SUMPRODUCT($K$58:BW$58,$K38:BW38)&lt;0.5,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IF(SUMPRODUCT($K$58:BZ$58,$K38:BZ38)&lt;0.5,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IF(SUMPRODUCT($K$58:CC$58,$K38:CC38)&lt;0.5,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IF(SUMPRODUCT($K$58:CF$58,$K38:CF38)&lt;0.5,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IF(SUMPRODUCT($K$58:CI$58,$K38:CI38)&lt;0.5,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IF(SUMPRODUCT($K$58:CL$58,$K38:CL38)&lt;0.5,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IF(SUMPRODUCT($K$58:CO$58,$K38:CO38)&lt;0.5,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IF(SUMPRODUCT($K$58:CR$58,$K38:CR38)&lt;0.5,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IF(SUMPRODUCT($K$58:CU$58,$K38:CU38)&lt;0.5,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IF(SUMPRODUCT($K$58:CX$58,$K38:CX38)&lt;0.5,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IF(SUMPRODUCT($K$58:DA$58,$K38:DA38)&lt;0.5,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IF(SUMPRODUCT($K$58:DD$58,$K38:DD38)&lt;0.5,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IF(SUMPRODUCT($K$58:DG$58,$K38:DG38)&lt;0.5,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IF(SUMPRODUCT($K$58:DJ$58,$K38:DJ38)&lt;0.5,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IF(SUMPRODUCT($K$58:DM$58,$K38:DM38)&lt;0.5,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IF(SUMPRODUCT($K$58:DP$58,$K38:DP38)&lt;0.5,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IF(SUMPRODUCT($K$58:DS$58,$K38:DS38)&lt;0.5,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IF(SUMPRODUCT($K$58:DV$58,$K38:DV38)&lt;0.5, "Pending", IF(DV38&lt;0.5, "Complete", "In Progress"))</f>
        <v>Pending</v>
      </c>
      <c r="DX38" s="22">
        <v>0</v>
      </c>
      <c r="DY38" s="22">
        <f t="shared" si="51"/>
        <v>0</v>
      </c>
      <c r="DZ38" s="23" t="str">
        <f>IF(SUMPRODUCT($K$58:DY$58,$K38:DY38)&lt;0.5, "Pending", IF(DY38&lt;0.5, "Complete", "In Progress"))</f>
        <v>Pending</v>
      </c>
      <c r="EA38" s="24"/>
      <c r="EB38" s="25">
        <f>SUMPRODUCT($I$58:DH$58,$I38:DH38)</f>
        <v>0</v>
      </c>
    </row>
    <row r="39" spans="1:132" ht="12.75" customHeight="1" x14ac:dyDescent="0.25">
      <c r="A39" s="16"/>
      <c r="B39" s="17"/>
      <c r="C39" s="187"/>
      <c r="D39" s="177"/>
      <c r="E39" s="169"/>
      <c r="F39" s="18"/>
      <c r="G39" s="19" t="str">
        <f t="shared" ca="1" si="0"/>
        <v>Pending</v>
      </c>
      <c r="H39" s="21"/>
      <c r="I39" s="21">
        <f t="shared" si="1"/>
        <v>0</v>
      </c>
      <c r="J39" s="195">
        <v>0</v>
      </c>
      <c r="K39" s="22">
        <v>0</v>
      </c>
      <c r="L39" s="22">
        <f t="shared" si="12"/>
        <v>0</v>
      </c>
      <c r="M39" s="23" t="str">
        <f>IF(SUMPRODUCT($K$58:L$58,$K39:L39)&lt;0.5,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IF(SUMPRODUCT($K$58:O$58,$K39:O39)&lt;0.5,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IF(SUMPRODUCT($K$58:R$58,$K39:R39)&lt;0.5,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IF(SUMPRODUCT($K$58:U$58,$K39:U39)&lt;0.5,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IF(SUMPRODUCT($K$58:X$58,$K39:X39)&lt;0.5,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IF(SUMPRODUCT($K$58:AA$58,$K39:AA39)&lt;0.5,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IF(SUMPRODUCT($K$58:AD$58,$K39:AD39)&lt;0.5,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IF(SUMPRODUCT($K$58:AG$58,$K39:AG39)&lt;0.5,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IF(SUMPRODUCT($K$58:AJ$58,$K39:AJ39)&lt;0.5,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IF(SUMPRODUCT($K$58:AM$58,$K39:AM39)&lt;0.5,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IF(SUMPRODUCT($K$58:AP$58,$K39:AP39)&lt;0.5,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IF(SUMPRODUCT($K$58:AS$58,$K39:AS39)&lt;0.5,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IF(SUMPRODUCT($K$58:AV$58,$K39:AV39)&lt;0.5,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IF(SUMPRODUCT($K$58:AY$58,$K39:AY39)&lt;0.5,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IF(SUMPRODUCT($K$58:BB$58,$K39:BB39)&lt;0.5,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IF(SUMPRODUCT($K$58:BE$58,$K39:BE39)&lt;0.5,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IF(SUMPRODUCT($K$58:BH$58,$K39:BH39)&lt;0.5,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IF(SUMPRODUCT($K$58:BK$58,$K39:BK39)&lt;0.5,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IF(SUMPRODUCT($K$58:BN$58,$K39:BN39)&lt;0.5,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IF(SUMPRODUCT($K$58:BQ$58,$K39:BQ39)&lt;0.5,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IF(SUMPRODUCT($K$58:BT$58,$K39:BT39)&lt;0.5,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IF(SUMPRODUCT($K$58:BW$58,$K39:BW39)&lt;0.5,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IF(SUMPRODUCT($K$58:BZ$58,$K39:BZ39)&lt;0.5,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IF(SUMPRODUCT($K$58:CC$58,$K39:CC39)&lt;0.5,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IF(SUMPRODUCT($K$58:CF$58,$K39:CF39)&lt;0.5,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IF(SUMPRODUCT($K$58:CI$58,$K39:CI39)&lt;0.5,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IF(SUMPRODUCT($K$58:CL$58,$K39:CL39)&lt;0.5,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IF(SUMPRODUCT($K$58:CO$58,$K39:CO39)&lt;0.5,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IF(SUMPRODUCT($K$58:CR$58,$K39:CR39)&lt;0.5,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IF(SUMPRODUCT($K$58:CU$58,$K39:CU39)&lt;0.5,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IF(SUMPRODUCT($K$58:CX$58,$K39:CX39)&lt;0.5,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IF(SUMPRODUCT($K$58:DA$58,$K39:DA39)&lt;0.5,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IF(SUMPRODUCT($K$58:DD$58,$K39:DD39)&lt;0.5,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IF(SUMPRODUCT($K$58:DG$58,$K39:DG39)&lt;0.5,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IF(SUMPRODUCT($K$58:DJ$58,$K39:DJ39)&lt;0.5,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IF(SUMPRODUCT($K$58:DM$58,$K39:DM39)&lt;0.5,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IF(SUMPRODUCT($K$58:DP$58,$K39:DP39)&lt;0.5,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IF(SUMPRODUCT($K$58:DS$58,$K39:DS39)&lt;0.5,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IF(SUMPRODUCT($K$58:DV$58,$K39:DV39)&lt;0.5, "Pending", IF(DV39&lt;0.5, "Complete", "In Progress"))</f>
        <v>Pending</v>
      </c>
      <c r="DX39" s="22">
        <v>0</v>
      </c>
      <c r="DY39" s="22">
        <f t="shared" si="51"/>
        <v>0</v>
      </c>
      <c r="DZ39" s="23" t="str">
        <f>IF(SUMPRODUCT($K$58:DY$58,$K39:DY39)&lt;0.5, "Pending", IF(DY39&lt;0.5, "Complete", "In Progress"))</f>
        <v>Pending</v>
      </c>
      <c r="EA39" s="24"/>
      <c r="EB39" s="25">
        <f>SUMPRODUCT($I$58:DH$58,$I39:DH39)</f>
        <v>0</v>
      </c>
    </row>
    <row r="40" spans="1:132" ht="12.75" customHeight="1" x14ac:dyDescent="0.25">
      <c r="A40" s="16"/>
      <c r="B40" s="17"/>
      <c r="C40" s="187"/>
      <c r="D40" s="177"/>
      <c r="E40" s="169"/>
      <c r="F40" s="18"/>
      <c r="G40" s="19" t="str">
        <f t="shared" ca="1" si="0"/>
        <v>Pending</v>
      </c>
      <c r="H40" s="21"/>
      <c r="I40" s="21">
        <f t="shared" si="1"/>
        <v>0</v>
      </c>
      <c r="J40" s="195">
        <v>0</v>
      </c>
      <c r="K40" s="22">
        <v>0</v>
      </c>
      <c r="L40" s="22">
        <f t="shared" si="12"/>
        <v>0</v>
      </c>
      <c r="M40" s="23" t="str">
        <f>IF(SUMPRODUCT($K$58:L$58,$K40:L40)&lt;0.5,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IF(SUMPRODUCT($K$58:O$58,$K40:O40)&lt;0.5,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IF(SUMPRODUCT($K$58:R$58,$K40:R40)&lt;0.5,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IF(SUMPRODUCT($K$58:U$58,$K40:U40)&lt;0.5,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IF(SUMPRODUCT($K$58:X$58,$K40:X40)&lt;0.5,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IF(SUMPRODUCT($K$58:AA$58,$K40:AA40)&lt;0.5,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IF(SUMPRODUCT($K$58:AD$58,$K40:AD40)&lt;0.5,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IF(SUMPRODUCT($K$58:AG$58,$K40:AG40)&lt;0.5,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IF(SUMPRODUCT($K$58:AJ$58,$K40:AJ40)&lt;0.5,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IF(SUMPRODUCT($K$58:AM$58,$K40:AM40)&lt;0.5,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IF(SUMPRODUCT($K$58:AP$58,$K40:AP40)&lt;0.5,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IF(SUMPRODUCT($K$58:AS$58,$K40:AS40)&lt;0.5,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IF(SUMPRODUCT($K$58:AV$58,$K40:AV40)&lt;0.5,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IF(SUMPRODUCT($K$58:AY$58,$K40:AY40)&lt;0.5,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IF(SUMPRODUCT($K$58:BB$58,$K40:BB40)&lt;0.5,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IF(SUMPRODUCT($K$58:BE$58,$K40:BE40)&lt;0.5,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IF(SUMPRODUCT($K$58:BH$58,$K40:BH40)&lt;0.5,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IF(SUMPRODUCT($K$58:BK$58,$K40:BK40)&lt;0.5,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IF(SUMPRODUCT($K$58:BN$58,$K40:BN40)&lt;0.5,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IF(SUMPRODUCT($K$58:BQ$58,$K40:BQ40)&lt;0.5,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IF(SUMPRODUCT($K$58:BT$58,$K40:BT40)&lt;0.5,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IF(SUMPRODUCT($K$58:BW$58,$K40:BW40)&lt;0.5,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IF(SUMPRODUCT($K$58:BZ$58,$K40:BZ40)&lt;0.5,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IF(SUMPRODUCT($K$58:CC$58,$K40:CC40)&lt;0.5,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IF(SUMPRODUCT($K$58:CF$58,$K40:CF40)&lt;0.5,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IF(SUMPRODUCT($K$58:CI$58,$K40:CI40)&lt;0.5,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IF(SUMPRODUCT($K$58:CL$58,$K40:CL40)&lt;0.5,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IF(SUMPRODUCT($K$58:CO$58,$K40:CO40)&lt;0.5,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IF(SUMPRODUCT($K$58:CR$58,$K40:CR40)&lt;0.5,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IF(SUMPRODUCT($K$58:CU$58,$K40:CU40)&lt;0.5,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IF(SUMPRODUCT($K$58:CX$58,$K40:CX40)&lt;0.5,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IF(SUMPRODUCT($K$58:DA$58,$K40:DA40)&lt;0.5,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IF(SUMPRODUCT($K$58:DD$58,$K40:DD40)&lt;0.5,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IF(SUMPRODUCT($K$58:DG$58,$K40:DG40)&lt;0.5,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IF(SUMPRODUCT($K$58:DJ$58,$K40:DJ40)&lt;0.5,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IF(SUMPRODUCT($K$58:DM$58,$K40:DM40)&lt;0.5,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IF(SUMPRODUCT($K$58:DP$58,$K40:DP40)&lt;0.5,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IF(SUMPRODUCT($K$58:DS$58,$K40:DS40)&lt;0.5,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IF(SUMPRODUCT($K$58:DV$58,$K40:DV40)&lt;0.5, "Pending", IF(DV40&lt;0.5, "Complete", "In Progress"))</f>
        <v>Pending</v>
      </c>
      <c r="DX40" s="22">
        <v>0</v>
      </c>
      <c r="DY40" s="22">
        <f t="shared" si="51"/>
        <v>0</v>
      </c>
      <c r="DZ40" s="23" t="str">
        <f>IF(SUMPRODUCT($K$58:DY$58,$K40:DY40)&lt;0.5, "Pending", IF(DY40&lt;0.5, "Complete", "In Progress"))</f>
        <v>Pending</v>
      </c>
      <c r="EA40" s="24"/>
      <c r="EB40" s="25">
        <f>SUMPRODUCT($I$58:DH$58,$I40:DH40)</f>
        <v>0</v>
      </c>
    </row>
    <row r="41" spans="1:132" ht="12.75" customHeight="1" x14ac:dyDescent="0.25">
      <c r="A41" s="16"/>
      <c r="B41" s="17"/>
      <c r="C41" s="187"/>
      <c r="D41" s="177"/>
      <c r="E41" s="170"/>
      <c r="F41" s="18"/>
      <c r="G41" s="19" t="str">
        <f t="shared" ca="1" si="0"/>
        <v>Pending</v>
      </c>
      <c r="H41" s="21"/>
      <c r="I41" s="21">
        <f t="shared" si="1"/>
        <v>0</v>
      </c>
      <c r="J41" s="195">
        <v>0</v>
      </c>
      <c r="K41" s="22">
        <v>0</v>
      </c>
      <c r="L41" s="22">
        <f t="shared" si="12"/>
        <v>0</v>
      </c>
      <c r="M41" s="23" t="str">
        <f>IF(SUMPRODUCT($K$58:L$58,$K41:L41)&lt;0.5,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IF(SUMPRODUCT($K$58:O$58,$K41:O41)&lt;0.5,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IF(SUMPRODUCT($K$58:R$58,$K41:R41)&lt;0.5,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IF(SUMPRODUCT($K$58:U$58,$K41:U41)&lt;0.5,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IF(SUMPRODUCT($K$58:X$58,$K41:X41)&lt;0.5,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IF(SUMPRODUCT($K$58:AA$58,$K41:AA41)&lt;0.5,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IF(SUMPRODUCT($K$58:AD$58,$K41:AD41)&lt;0.5,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IF(SUMPRODUCT($K$58:AG$58,$K41:AG41)&lt;0.5,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IF(SUMPRODUCT($K$58:AJ$58,$K41:AJ41)&lt;0.5,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IF(SUMPRODUCT($K$58:AM$58,$K41:AM41)&lt;0.5,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IF(SUMPRODUCT($K$58:AP$58,$K41:AP41)&lt;0.5,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IF(SUMPRODUCT($K$58:AS$58,$K41:AS41)&lt;0.5,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IF(SUMPRODUCT($K$58:AV$58,$K41:AV41)&lt;0.5,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IF(SUMPRODUCT($K$58:AY$58,$K41:AY41)&lt;0.5,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IF(SUMPRODUCT($K$58:BB$58,$K41:BB41)&lt;0.5,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IF(SUMPRODUCT($K$58:BE$58,$K41:BE41)&lt;0.5,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IF(SUMPRODUCT($K$58:BH$58,$K41:BH41)&lt;0.5,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IF(SUMPRODUCT($K$58:BK$58,$K41:BK41)&lt;0.5,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IF(SUMPRODUCT($K$58:BN$58,$K41:BN41)&lt;0.5,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IF(SUMPRODUCT($K$58:BQ$58,$K41:BQ41)&lt;0.5,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IF(SUMPRODUCT($K$58:BT$58,$K41:BT41)&lt;0.5,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IF(SUMPRODUCT($K$58:BW$58,$K41:BW41)&lt;0.5,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IF(SUMPRODUCT($K$58:BZ$58,$K41:BZ41)&lt;0.5,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IF(SUMPRODUCT($K$58:CC$58,$K41:CC41)&lt;0.5,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IF(SUMPRODUCT($K$58:CF$58,$K41:CF41)&lt;0.5,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IF(SUMPRODUCT($K$58:CI$58,$K41:CI41)&lt;0.5,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IF(SUMPRODUCT($K$58:CL$58,$K41:CL41)&lt;0.5,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IF(SUMPRODUCT($K$58:CO$58,$K41:CO41)&lt;0.5,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IF(SUMPRODUCT($K$58:CR$58,$K41:CR41)&lt;0.5,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IF(SUMPRODUCT($K$58:CU$58,$K41:CU41)&lt;0.5,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IF(SUMPRODUCT($K$58:CX$58,$K41:CX41)&lt;0.5,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IF(SUMPRODUCT($K$58:DA$58,$K41:DA41)&lt;0.5,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IF(SUMPRODUCT($K$58:DD$58,$K41:DD41)&lt;0.5,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IF(SUMPRODUCT($K$58:DG$58,$K41:DG41)&lt;0.5,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IF(SUMPRODUCT($K$58:DJ$58,$K41:DJ41)&lt;0.5,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IF(SUMPRODUCT($K$58:DM$58,$K41:DM41)&lt;0.5,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IF(SUMPRODUCT($K$58:DP$58,$K41:DP41)&lt;0.5,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IF(SUMPRODUCT($K$58:DS$58,$K41:DS41)&lt;0.5,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IF(SUMPRODUCT($K$58:DV$58,$K41:DV41)&lt;0.5, "Pending", IF(DV41&lt;0.5, "Complete", "In Progress"))</f>
        <v>Pending</v>
      </c>
      <c r="DX41" s="22">
        <v>0</v>
      </c>
      <c r="DY41" s="22">
        <f t="shared" si="51"/>
        <v>0</v>
      </c>
      <c r="DZ41" s="23" t="str">
        <f>IF(SUMPRODUCT($K$58:DY$58,$K41:DY41)&lt;0.5, "Pending", IF(DY41&lt;0.5, "Complete", "In Progress"))</f>
        <v>Pending</v>
      </c>
      <c r="EA41" s="24"/>
      <c r="EB41" s="25">
        <f>SUMPRODUCT($I$58:DH$58,$I41:DH41)</f>
        <v>0</v>
      </c>
    </row>
    <row r="42" spans="1:132" ht="12.75" customHeight="1" x14ac:dyDescent="0.25">
      <c r="A42" s="16"/>
      <c r="B42" s="17"/>
      <c r="C42" s="187"/>
      <c r="D42" s="177"/>
      <c r="E42" s="169"/>
      <c r="F42" s="18"/>
      <c r="G42" s="19" t="str">
        <f t="shared" ca="1" si="0"/>
        <v>Pending</v>
      </c>
      <c r="H42" s="21"/>
      <c r="I42" s="21">
        <f t="shared" si="1"/>
        <v>0</v>
      </c>
      <c r="J42" s="195">
        <v>0</v>
      </c>
      <c r="K42" s="22">
        <v>0</v>
      </c>
      <c r="L42" s="22">
        <f t="shared" si="12"/>
        <v>0</v>
      </c>
      <c r="M42" s="23" t="str">
        <f>IF(SUMPRODUCT($K$58:L$58,$K42:L42)&lt;0.5,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IF(SUMPRODUCT($K$58:O$58,$K42:O42)&lt;0.5,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IF(SUMPRODUCT($K$58:R$58,$K42:R42)&lt;0.5,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IF(SUMPRODUCT($K$58:U$58,$K42:U42)&lt;0.5,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IF(SUMPRODUCT($K$58:X$58,$K42:X42)&lt;0.5,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IF(SUMPRODUCT($K$58:AA$58,$K42:AA42)&lt;0.5,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IF(SUMPRODUCT($K$58:AD$58,$K42:AD42)&lt;0.5,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IF(SUMPRODUCT($K$58:AG$58,$K42:AG42)&lt;0.5,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IF(SUMPRODUCT($K$58:AJ$58,$K42:AJ42)&lt;0.5,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IF(SUMPRODUCT($K$58:AM$58,$K42:AM42)&lt;0.5,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IF(SUMPRODUCT($K$58:AP$58,$K42:AP42)&lt;0.5,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IF(SUMPRODUCT($K$58:AS$58,$K42:AS42)&lt;0.5,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IF(SUMPRODUCT($K$58:AV$58,$K42:AV42)&lt;0.5,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IF(SUMPRODUCT($K$58:AY$58,$K42:AY42)&lt;0.5,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IF(SUMPRODUCT($K$58:BB$58,$K42:BB42)&lt;0.5,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IF(SUMPRODUCT($K$58:BE$58,$K42:BE42)&lt;0.5,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IF(SUMPRODUCT($K$58:BH$58,$K42:BH42)&lt;0.5,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IF(SUMPRODUCT($K$58:BK$58,$K42:BK42)&lt;0.5,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IF(SUMPRODUCT($K$58:BN$58,$K42:BN42)&lt;0.5,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IF(SUMPRODUCT($K$58:BQ$58,$K42:BQ42)&lt;0.5,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IF(SUMPRODUCT($K$58:BT$58,$K42:BT42)&lt;0.5,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IF(SUMPRODUCT($K$58:BW$58,$K42:BW42)&lt;0.5,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IF(SUMPRODUCT($K$58:BZ$58,$K42:BZ42)&lt;0.5,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IF(SUMPRODUCT($K$58:CC$58,$K42:CC42)&lt;0.5,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IF(SUMPRODUCT($K$58:CF$58,$K42:CF42)&lt;0.5,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IF(SUMPRODUCT($K$58:CI$58,$K42:CI42)&lt;0.5,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IF(SUMPRODUCT($K$58:CL$58,$K42:CL42)&lt;0.5,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IF(SUMPRODUCT($K$58:CO$58,$K42:CO42)&lt;0.5,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IF(SUMPRODUCT($K$58:CR$58,$K42:CR42)&lt;0.5,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IF(SUMPRODUCT($K$58:CU$58,$K42:CU42)&lt;0.5,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IF(SUMPRODUCT($K$58:CX$58,$K42:CX42)&lt;0.5,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IF(SUMPRODUCT($K$58:DA$58,$K42:DA42)&lt;0.5,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IF(SUMPRODUCT($K$58:DD$58,$K42:DD42)&lt;0.5,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IF(SUMPRODUCT($K$58:DG$58,$K42:DG42)&lt;0.5,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IF(SUMPRODUCT($K$58:DJ$58,$K42:DJ42)&lt;0.5,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IF(SUMPRODUCT($K$58:DM$58,$K42:DM42)&lt;0.5,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IF(SUMPRODUCT($K$58:DP$58,$K42:DP42)&lt;0.5,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IF(SUMPRODUCT($K$58:DS$58,$K42:DS42)&lt;0.5,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IF(SUMPRODUCT($K$58:DV$58,$K42:DV42)&lt;0.5, "Pending", IF(DV42&lt;0.5, "Complete", "In Progress"))</f>
        <v>Pending</v>
      </c>
      <c r="DX42" s="22">
        <v>0</v>
      </c>
      <c r="DY42" s="22">
        <f t="shared" si="51"/>
        <v>0</v>
      </c>
      <c r="DZ42" s="23" t="str">
        <f>IF(SUMPRODUCT($K$58:DY$58,$K42:DY42)&lt;0.5, "Pending", IF(DY42&lt;0.5, "Complete", "In Progress"))</f>
        <v>Pending</v>
      </c>
      <c r="EA42" s="24"/>
      <c r="EB42" s="25">
        <f>SUMPRODUCT($I$58:DH$58,$I42:DH42)</f>
        <v>0</v>
      </c>
    </row>
    <row r="43" spans="1:132" ht="12.75" customHeight="1" x14ac:dyDescent="0.25">
      <c r="A43" s="16"/>
      <c r="B43" s="17"/>
      <c r="C43" s="187"/>
      <c r="D43" s="170"/>
      <c r="E43" s="169"/>
      <c r="F43" s="18"/>
      <c r="G43" s="19" t="str">
        <f t="shared" ca="1" si="0"/>
        <v>Pending</v>
      </c>
      <c r="H43" s="21"/>
      <c r="I43" s="21">
        <f t="shared" si="1"/>
        <v>0</v>
      </c>
      <c r="J43" s="195">
        <v>0</v>
      </c>
      <c r="K43" s="22">
        <v>0</v>
      </c>
      <c r="L43" s="22">
        <f t="shared" ref="L43:L44" si="52">MAX(J43-K43, 0)</f>
        <v>0</v>
      </c>
      <c r="M43" s="23" t="str">
        <f>IF(SUMPRODUCT($K$58:L$58,$K43:L43)&lt;0.5, "Pending", IF(L43&lt;0.5, "Complete", "In Progress"))</f>
        <v>Pending</v>
      </c>
      <c r="N43" s="22">
        <v>0</v>
      </c>
      <c r="O43" s="22">
        <f t="shared" ref="O43:O44" si="53">MAX(L43-N43,0)</f>
        <v>0</v>
      </c>
      <c r="P43" s="23" t="str">
        <f>IF(SUMPRODUCT($K$58:O$58,$K43:O43)&lt;0.5, "Pending", IF(O43&lt;0.5, "Complete", "In Progress"))</f>
        <v>Pending</v>
      </c>
      <c r="Q43" s="22">
        <v>0</v>
      </c>
      <c r="R43" s="22">
        <f t="shared" ref="R43:R44" si="54">MAX(O43-Q43,0)</f>
        <v>0</v>
      </c>
      <c r="S43" s="23" t="str">
        <f>IF(SUMPRODUCT($K$58:R$58,$K43:R43)&lt;0.5, "Pending", IF(R43&lt;0.5, "Complete", "In Progress"))</f>
        <v>Pending</v>
      </c>
      <c r="T43" s="22">
        <v>0</v>
      </c>
      <c r="U43" s="22">
        <f t="shared" ref="U43:U44" si="55">MAX(R43-T43,0)</f>
        <v>0</v>
      </c>
      <c r="V43" s="23" t="str">
        <f>IF(SUMPRODUCT($K$58:U$58,$K43:U43)&lt;0.5, "Pending", IF(U43&lt;0.5, "Complete", "In Progress"))</f>
        <v>Pending</v>
      </c>
      <c r="W43" s="22">
        <v>0</v>
      </c>
      <c r="X43" s="22">
        <f t="shared" ref="X43:X44" si="56">MAX(U43-W43,0)</f>
        <v>0</v>
      </c>
      <c r="Y43" s="23" t="str">
        <f>IF(SUMPRODUCT($K$58:X$58,$K43:X43)&lt;0.5, "Pending", IF(X43&lt;0.5, "Complete", "In Progress"))</f>
        <v>Pending</v>
      </c>
      <c r="Z43" s="22">
        <v>0</v>
      </c>
      <c r="AA43" s="22">
        <f t="shared" ref="AA43:AA44" si="57">MAX(X43-Z43,0)</f>
        <v>0</v>
      </c>
      <c r="AB43" s="23" t="str">
        <f>IF(SUMPRODUCT($K$58:AA$58,$K43:AA43)&lt;0.5, "Pending", IF(AA43&lt;0.5, "Complete", "In Progress"))</f>
        <v>Pending</v>
      </c>
      <c r="AC43" s="22">
        <v>0</v>
      </c>
      <c r="AD43" s="22">
        <f t="shared" ref="AD43:AD44" si="58">MAX(AA43-AC43,0)</f>
        <v>0</v>
      </c>
      <c r="AE43" s="23" t="str">
        <f>IF(SUMPRODUCT($K$58:AD$58,$K43:AD43)&lt;0.5, "Pending", IF(AD43&lt;0.5, "Complete", "In Progress"))</f>
        <v>Pending</v>
      </c>
      <c r="AF43" s="22">
        <v>0</v>
      </c>
      <c r="AG43" s="22">
        <f t="shared" ref="AG43:AG44" si="59">MAX(AD43-AF43,0)</f>
        <v>0</v>
      </c>
      <c r="AH43" s="23" t="str">
        <f>IF(SUMPRODUCT($K$58:AG$58,$K43:AG43)&lt;0.5, "Pending", IF(AG43&lt;0.5, "Complete", "In Progress"))</f>
        <v>Pending</v>
      </c>
      <c r="AI43" s="22">
        <v>0</v>
      </c>
      <c r="AJ43" s="22">
        <f t="shared" ref="AJ43:AJ44" si="60">MAX(AG43-AI43,0)</f>
        <v>0</v>
      </c>
      <c r="AK43" s="23" t="str">
        <f>IF(SUMPRODUCT($K$58:AJ$58,$K43:AJ43)&lt;0.5, "Pending", IF(AJ43&lt;0.5, "Complete", "In Progress"))</f>
        <v>Pending</v>
      </c>
      <c r="AL43" s="22">
        <v>0</v>
      </c>
      <c r="AM43" s="22">
        <f t="shared" ref="AM43:AM44" si="61">MAX(AJ43-AL43,0)</f>
        <v>0</v>
      </c>
      <c r="AN43" s="23" t="str">
        <f>IF(SUMPRODUCT($K$58:AM$58,$K43:AM43)&lt;0.5, "Pending", IF(AM43&lt;0.5, "Complete", "In Progress"))</f>
        <v>Pending</v>
      </c>
      <c r="AO43" s="22">
        <v>0</v>
      </c>
      <c r="AP43" s="22">
        <f t="shared" ref="AP43:AP44" si="62">MAX(AM43-AO43,0)</f>
        <v>0</v>
      </c>
      <c r="AQ43" s="23" t="str">
        <f>IF(SUMPRODUCT($K$58:AP$58,$K43:AP43)&lt;0.5, "Pending", IF(AP43&lt;0.5, "Complete", "In Progress"))</f>
        <v>Pending</v>
      </c>
      <c r="AR43" s="22">
        <v>0</v>
      </c>
      <c r="AS43" s="22">
        <f t="shared" ref="AS43:AS44" si="63">MAX(AP43-AR43,0)</f>
        <v>0</v>
      </c>
      <c r="AT43" s="23" t="str">
        <f>IF(SUMPRODUCT($K$58:AS$58,$K43:AS43)&lt;0.5, "Pending", IF(AS43&lt;0.5, "Complete", "In Progress"))</f>
        <v>Pending</v>
      </c>
      <c r="AU43" s="22">
        <v>0</v>
      </c>
      <c r="AV43" s="22">
        <f t="shared" ref="AV43:AV44" si="64">MAX(AS43-AU43,0)</f>
        <v>0</v>
      </c>
      <c r="AW43" s="23" t="str">
        <f>IF(SUMPRODUCT($K$58:AV$58,$K43:AV43)&lt;0.5, "Pending", IF(AV43&lt;0.5, "Complete", "In Progress"))</f>
        <v>Pending</v>
      </c>
      <c r="AX43" s="22">
        <v>0</v>
      </c>
      <c r="AY43" s="22">
        <f t="shared" ref="AY43:AY44" si="65">MAX(AV43-AX43,0)</f>
        <v>0</v>
      </c>
      <c r="AZ43" s="23" t="str">
        <f>IF(SUMPRODUCT($K$58:AY$58,$K43:AY43)&lt;0.5, "Pending", IF(AY43&lt;0.5, "Complete", "In Progress"))</f>
        <v>Pending</v>
      </c>
      <c r="BA43" s="22">
        <v>0</v>
      </c>
      <c r="BB43" s="22">
        <f t="shared" ref="BB43:BB44" si="66">MAX(AY43-BA43,0)</f>
        <v>0</v>
      </c>
      <c r="BC43" s="23" t="str">
        <f>IF(SUMPRODUCT($K$58:BB$58,$K43:BB43)&lt;0.5, "Pending", IF(BB43&lt;0.5, "Complete", "In Progress"))</f>
        <v>Pending</v>
      </c>
      <c r="BD43" s="22">
        <v>0</v>
      </c>
      <c r="BE43" s="22">
        <f t="shared" ref="BE43:BE44" si="67">MAX(BB43-BD43,0)</f>
        <v>0</v>
      </c>
      <c r="BF43" s="23" t="str">
        <f>IF(SUMPRODUCT($K$58:BE$58,$K43:BE43)&lt;0.5, "Pending", IF(BE43&lt;0.5, "Complete", "In Progress"))</f>
        <v>Pending</v>
      </c>
      <c r="BG43" s="22">
        <v>0</v>
      </c>
      <c r="BH43" s="22">
        <f t="shared" ref="BH43:BH44" si="68">MAX(BE43-BG43,0)</f>
        <v>0</v>
      </c>
      <c r="BI43" s="23" t="str">
        <f>IF(SUMPRODUCT($K$58:BH$58,$K43:BH43)&lt;0.5, "Pending", IF(BH43&lt;0.5, "Complete", "In Progress"))</f>
        <v>Pending</v>
      </c>
      <c r="BJ43" s="22">
        <v>0</v>
      </c>
      <c r="BK43" s="22">
        <f t="shared" ref="BK43:BK44" si="69">MAX(BH43-BJ43,0)</f>
        <v>0</v>
      </c>
      <c r="BL43" s="23" t="str">
        <f>IF(SUMPRODUCT($K$58:BK$58,$K43:BK43)&lt;0.5, "Pending", IF(BK43&lt;0.5, "Complete", "In Progress"))</f>
        <v>Pending</v>
      </c>
      <c r="BM43" s="22">
        <v>0</v>
      </c>
      <c r="BN43" s="22">
        <f t="shared" ref="BN43:BN44" si="70">MAX(BK43-BM43,0)</f>
        <v>0</v>
      </c>
      <c r="BO43" s="23" t="str">
        <f>IF(SUMPRODUCT($K$58:BN$58,$K43:BN43)&lt;0.5, "Pending", IF(BN43&lt;0.5, "Complete", "In Progress"))</f>
        <v>Pending</v>
      </c>
      <c r="BP43" s="22">
        <v>0</v>
      </c>
      <c r="BQ43" s="22">
        <f t="shared" ref="BQ43:BQ44" si="71">MAX(BN43-BP43,0)</f>
        <v>0</v>
      </c>
      <c r="BR43" s="23" t="str">
        <f>IF(SUMPRODUCT($K$58:BQ$58,$K43:BQ43)&lt;0.5, "Pending", IF(BQ43&lt;0.5, "Complete", "In Progress"))</f>
        <v>Pending</v>
      </c>
      <c r="BS43" s="22">
        <v>0</v>
      </c>
      <c r="BT43" s="22">
        <f t="shared" ref="BT43:BT44" si="72">MAX(BQ43-BS43,0)</f>
        <v>0</v>
      </c>
      <c r="BU43" s="23" t="str">
        <f>IF(SUMPRODUCT($K$58:BT$58,$K43:BT43)&lt;0.5, "Pending", IF(BT43&lt;0.5, "Complete", "In Progress"))</f>
        <v>Pending</v>
      </c>
      <c r="BV43" s="22">
        <v>0</v>
      </c>
      <c r="BW43" s="22">
        <f t="shared" ref="BW43:BW44" si="73">MAX(BT43-BV43,0)</f>
        <v>0</v>
      </c>
      <c r="BX43" s="23" t="str">
        <f>IF(SUMPRODUCT($K$58:BW$58,$K43:BW43)&lt;0.5, "Pending", IF(BW43&lt;0.5, "Complete", "In Progress"))</f>
        <v>Pending</v>
      </c>
      <c r="BY43" s="22">
        <v>0</v>
      </c>
      <c r="BZ43" s="22">
        <f t="shared" ref="BZ43:BZ44" si="74">MAX(BW43-BY43,0)</f>
        <v>0</v>
      </c>
      <c r="CA43" s="23" t="str">
        <f>IF(SUMPRODUCT($K$58:BZ$58,$K43:BZ43)&lt;0.5, "Pending", IF(BZ43&lt;0.5, "Complete", "In Progress"))</f>
        <v>Pending</v>
      </c>
      <c r="CB43" s="22">
        <v>0</v>
      </c>
      <c r="CC43" s="22">
        <f t="shared" ref="CC43:CC44" si="75">MAX(BZ43-CB43,0)</f>
        <v>0</v>
      </c>
      <c r="CD43" s="23" t="str">
        <f>IF(SUMPRODUCT($K$58:CC$58,$K43:CC43)&lt;0.5, "Pending", IF(CC43&lt;0.5, "Complete", "In Progress"))</f>
        <v>Pending</v>
      </c>
      <c r="CE43" s="22">
        <v>0</v>
      </c>
      <c r="CF43" s="22">
        <f t="shared" ref="CF43:CF44" si="76">MAX(CC43-CE43,0)</f>
        <v>0</v>
      </c>
      <c r="CG43" s="23" t="str">
        <f>IF(SUMPRODUCT($K$58:CF$58,$K43:CF43)&lt;0.5, "Pending", IF(CF43&lt;0.5, "Complete", "In Progress"))</f>
        <v>Pending</v>
      </c>
      <c r="CH43" s="22">
        <v>0</v>
      </c>
      <c r="CI43" s="22">
        <f t="shared" ref="CI43:CI44" si="77">MAX(CF43-CH43,0)</f>
        <v>0</v>
      </c>
      <c r="CJ43" s="23" t="str">
        <f>IF(SUMPRODUCT($K$58:CI$58,$K43:CI43)&lt;0.5, "Pending", IF(CI43&lt;0.5, "Complete", "In Progress"))</f>
        <v>Pending</v>
      </c>
      <c r="CK43" s="22">
        <v>0</v>
      </c>
      <c r="CL43" s="22">
        <f t="shared" ref="CL43:CL44" si="78">MAX(CI43-CK43,0)</f>
        <v>0</v>
      </c>
      <c r="CM43" s="23" t="str">
        <f>IF(SUMPRODUCT($K$58:CL$58,$K43:CL43)&lt;0.5, "Pending", IF(CL43&lt;0.5, "Complete", "In Progress"))</f>
        <v>Pending</v>
      </c>
      <c r="CN43" s="22">
        <v>0</v>
      </c>
      <c r="CO43" s="22">
        <f t="shared" ref="CO43:CO44" si="79">MAX(CL43-CN43,0)</f>
        <v>0</v>
      </c>
      <c r="CP43" s="23" t="str">
        <f>IF(SUMPRODUCT($K$58:CO$58,$K43:CO43)&lt;0.5, "Pending", IF(CO43&lt;0.5, "Complete", "In Progress"))</f>
        <v>Pending</v>
      </c>
      <c r="CQ43" s="22">
        <v>0</v>
      </c>
      <c r="CR43" s="22">
        <f t="shared" ref="CR43:CR44" si="80">MAX(CO43-CQ43,0)</f>
        <v>0</v>
      </c>
      <c r="CS43" s="23" t="str">
        <f>IF(SUMPRODUCT($K$58:CR$58,$K43:CR43)&lt;0.5, "Pending", IF(CR43&lt;0.5, "Complete", "In Progress"))</f>
        <v>Pending</v>
      </c>
      <c r="CT43" s="22">
        <v>0</v>
      </c>
      <c r="CU43" s="22">
        <f t="shared" ref="CU43:CU44" si="81">MAX(CR43-CT43,0)</f>
        <v>0</v>
      </c>
      <c r="CV43" s="23" t="str">
        <f>IF(SUMPRODUCT($K$58:CU$58,$K43:CU43)&lt;0.5, "Pending", IF(CU43&lt;0.5, "Complete", "In Progress"))</f>
        <v>Pending</v>
      </c>
      <c r="CW43" s="22">
        <v>0</v>
      </c>
      <c r="CX43" s="22">
        <f t="shared" ref="CX43:CX44" si="82">MAX(CU43-CW43,0)</f>
        <v>0</v>
      </c>
      <c r="CY43" s="23" t="str">
        <f>IF(SUMPRODUCT($K$58:CX$58,$K43:CX43)&lt;0.5, "Pending", IF(CX43&lt;0.5, "Complete", "In Progress"))</f>
        <v>Pending</v>
      </c>
      <c r="CZ43" s="22">
        <v>0</v>
      </c>
      <c r="DA43" s="22">
        <f t="shared" ref="DA43:DA44" si="83">MAX(CX43-CZ43,0)</f>
        <v>0</v>
      </c>
      <c r="DB43" s="23" t="str">
        <f>IF(SUMPRODUCT($K$58:DA$58,$K43:DA43)&lt;0.5, "Pending", IF(DA43&lt;0.5, "Complete", "In Progress"))</f>
        <v>Pending</v>
      </c>
      <c r="DC43" s="22">
        <v>0</v>
      </c>
      <c r="DD43" s="22">
        <f t="shared" ref="DD43:DD44" si="84">MAX(DA43-DC43,0)</f>
        <v>0</v>
      </c>
      <c r="DE43" s="23" t="str">
        <f>IF(SUMPRODUCT($K$58:DD$58,$K43:DD43)&lt;0.5, "Pending", IF(DD43&lt;0.5, "Complete", "In Progress"))</f>
        <v>Pending</v>
      </c>
      <c r="DF43" s="22">
        <v>0</v>
      </c>
      <c r="DG43" s="22">
        <f t="shared" ref="DG43:DG44" si="85">MAX(DD43-DF43,0)</f>
        <v>0</v>
      </c>
      <c r="DH43" s="23" t="str">
        <f>IF(SUMPRODUCT($K$58:DG$58,$K43:DG43)&lt;0.5, "Pending", IF(DG43&lt;0.5, "Complete", "In Progress"))</f>
        <v>Pending</v>
      </c>
      <c r="DI43" s="22">
        <v>0</v>
      </c>
      <c r="DJ43" s="22">
        <f t="shared" ref="DJ43:DJ44" si="86">MAX(DG43-DI43,0)</f>
        <v>0</v>
      </c>
      <c r="DK43" s="23" t="str">
        <f>IF(SUMPRODUCT($K$58:DJ$58,$K43:DJ43)&lt;0.5, "Pending", IF(DJ43&lt;0.5, "Complete", "In Progress"))</f>
        <v>Pending</v>
      </c>
      <c r="DL43" s="22">
        <v>0</v>
      </c>
      <c r="DM43" s="22">
        <f t="shared" ref="DM43:DM44" si="87">MAX(DJ43-DL43,0)</f>
        <v>0</v>
      </c>
      <c r="DN43" s="23" t="str">
        <f>IF(SUMPRODUCT($K$58:DM$58,$K43:DM43)&lt;0.5, "Pending", IF(DM43&lt;0.5, "Complete", "In Progress"))</f>
        <v>Pending</v>
      </c>
      <c r="DO43" s="22">
        <v>0</v>
      </c>
      <c r="DP43" s="22">
        <f t="shared" ref="DP43:DP44" si="88">MAX(DM43-DO43,0)</f>
        <v>0</v>
      </c>
      <c r="DQ43" s="23" t="str">
        <f>IF(SUMPRODUCT($K$58:DP$58,$K43:DP43)&lt;0.5, "Pending", IF(DP43&lt;0.5, "Complete", "In Progress"))</f>
        <v>Pending</v>
      </c>
      <c r="DR43" s="22">
        <v>0</v>
      </c>
      <c r="DS43" s="22">
        <f t="shared" ref="DS43:DS44" si="89">MAX(DP43-DR43,0)</f>
        <v>0</v>
      </c>
      <c r="DT43" s="23" t="str">
        <f>IF(SUMPRODUCT($K$58:DS$58,$K43:DS43)&lt;0.5, "Pending", IF(DS43&lt;0.5, "Complete", "In Progress"))</f>
        <v>Pending</v>
      </c>
      <c r="DU43" s="22">
        <v>0</v>
      </c>
      <c r="DV43" s="22">
        <f t="shared" ref="DV43:DV44" si="90">MAX(DS43-DU43,0)</f>
        <v>0</v>
      </c>
      <c r="DW43" s="23" t="str">
        <f>IF(SUMPRODUCT($K$58:DV$58,$K43:DV43)&lt;0.5, "Pending", IF(DV43&lt;0.5, "Complete", "In Progress"))</f>
        <v>Pending</v>
      </c>
      <c r="DX43" s="22">
        <v>0</v>
      </c>
      <c r="DY43" s="22">
        <f t="shared" ref="DY43:DY44" si="91">MAX(DV43-DX43,0)</f>
        <v>0</v>
      </c>
      <c r="DZ43" s="23" t="str">
        <f>IF(SUMPRODUCT($K$58:DY$58,$K43:DY43)&lt;0.5, "Pending", IF(DY43&lt;0.5, "Complete", "In Progress"))</f>
        <v>Pending</v>
      </c>
      <c r="EA43" s="24"/>
      <c r="EB43" s="25">
        <f>SUMPRODUCT($I$58:DH$58,$I43:DH43)</f>
        <v>0</v>
      </c>
    </row>
    <row r="44" spans="1:132" ht="12.75" customHeight="1" x14ac:dyDescent="0.25">
      <c r="A44" s="16"/>
      <c r="B44" s="17"/>
      <c r="C44" s="187"/>
      <c r="D44" s="177"/>
      <c r="E44" s="169"/>
      <c r="F44" s="18"/>
      <c r="G44" s="19" t="str">
        <f t="shared" ca="1" si="0"/>
        <v>Pending</v>
      </c>
      <c r="H44" s="21"/>
      <c r="I44" s="21">
        <f t="shared" si="1"/>
        <v>0</v>
      </c>
      <c r="J44" s="195">
        <v>0</v>
      </c>
      <c r="K44" s="22">
        <v>0</v>
      </c>
      <c r="L44" s="22">
        <f t="shared" si="52"/>
        <v>0</v>
      </c>
      <c r="M44" s="23" t="str">
        <f>IF(SUMPRODUCT($K$58:L$58,$K44:L44)&lt;0.5, "Pending", IF(L44&lt;0.5, "Complete", "In Progress"))</f>
        <v>Pending</v>
      </c>
      <c r="N44" s="22">
        <v>0</v>
      </c>
      <c r="O44" s="22">
        <f t="shared" si="53"/>
        <v>0</v>
      </c>
      <c r="P44" s="23" t="str">
        <f>IF(SUMPRODUCT($K$58:O$58,$K44:O44)&lt;0.5, "Pending", IF(O44&lt;0.5, "Complete", "In Progress"))</f>
        <v>Pending</v>
      </c>
      <c r="Q44" s="22">
        <v>0</v>
      </c>
      <c r="R44" s="22">
        <f t="shared" si="54"/>
        <v>0</v>
      </c>
      <c r="S44" s="23" t="str">
        <f>IF(SUMPRODUCT($K$58:R$58,$K44:R44)&lt;0.5, "Pending", IF(R44&lt;0.5, "Complete", "In Progress"))</f>
        <v>Pending</v>
      </c>
      <c r="T44" s="22">
        <v>0</v>
      </c>
      <c r="U44" s="22">
        <f t="shared" si="55"/>
        <v>0</v>
      </c>
      <c r="V44" s="23" t="str">
        <f>IF(SUMPRODUCT($K$58:U$58,$K44:U44)&lt;0.5, "Pending", IF(U44&lt;0.5, "Complete", "In Progress"))</f>
        <v>Pending</v>
      </c>
      <c r="W44" s="22">
        <v>0</v>
      </c>
      <c r="X44" s="22">
        <f t="shared" si="56"/>
        <v>0</v>
      </c>
      <c r="Y44" s="23" t="str">
        <f>IF(SUMPRODUCT($K$58:X$58,$K44:X44)&lt;0.5, "Pending", IF(X44&lt;0.5, "Complete", "In Progress"))</f>
        <v>Pending</v>
      </c>
      <c r="Z44" s="22">
        <v>0</v>
      </c>
      <c r="AA44" s="22">
        <f t="shared" si="57"/>
        <v>0</v>
      </c>
      <c r="AB44" s="23" t="str">
        <f>IF(SUMPRODUCT($K$58:AA$58,$K44:AA44)&lt;0.5, "Pending", IF(AA44&lt;0.5, "Complete", "In Progress"))</f>
        <v>Pending</v>
      </c>
      <c r="AC44" s="22">
        <v>0</v>
      </c>
      <c r="AD44" s="22">
        <f t="shared" si="58"/>
        <v>0</v>
      </c>
      <c r="AE44" s="23" t="str">
        <f>IF(SUMPRODUCT($K$58:AD$58,$K44:AD44)&lt;0.5, "Pending", IF(AD44&lt;0.5, "Complete", "In Progress"))</f>
        <v>Pending</v>
      </c>
      <c r="AF44" s="22">
        <v>0</v>
      </c>
      <c r="AG44" s="22">
        <f t="shared" si="59"/>
        <v>0</v>
      </c>
      <c r="AH44" s="23" t="str">
        <f>IF(SUMPRODUCT($K$58:AG$58,$K44:AG44)&lt;0.5, "Pending", IF(AG44&lt;0.5, "Complete", "In Progress"))</f>
        <v>Pending</v>
      </c>
      <c r="AI44" s="22">
        <v>0</v>
      </c>
      <c r="AJ44" s="22">
        <f t="shared" si="60"/>
        <v>0</v>
      </c>
      <c r="AK44" s="23" t="str">
        <f>IF(SUMPRODUCT($K$58:AJ$58,$K44:AJ44)&lt;0.5, "Pending", IF(AJ44&lt;0.5, "Complete", "In Progress"))</f>
        <v>Pending</v>
      </c>
      <c r="AL44" s="22">
        <v>0</v>
      </c>
      <c r="AM44" s="22">
        <f t="shared" si="61"/>
        <v>0</v>
      </c>
      <c r="AN44" s="23" t="str">
        <f>IF(SUMPRODUCT($K$58:AM$58,$K44:AM44)&lt;0.5, "Pending", IF(AM44&lt;0.5, "Complete", "In Progress"))</f>
        <v>Pending</v>
      </c>
      <c r="AO44" s="22">
        <v>0</v>
      </c>
      <c r="AP44" s="22">
        <f t="shared" si="62"/>
        <v>0</v>
      </c>
      <c r="AQ44" s="23" t="str">
        <f>IF(SUMPRODUCT($K$58:AP$58,$K44:AP44)&lt;0.5, "Pending", IF(AP44&lt;0.5, "Complete", "In Progress"))</f>
        <v>Pending</v>
      </c>
      <c r="AR44" s="22">
        <v>0</v>
      </c>
      <c r="AS44" s="22">
        <f t="shared" si="63"/>
        <v>0</v>
      </c>
      <c r="AT44" s="23" t="str">
        <f>IF(SUMPRODUCT($K$58:AS$58,$K44:AS44)&lt;0.5, "Pending", IF(AS44&lt;0.5, "Complete", "In Progress"))</f>
        <v>Pending</v>
      </c>
      <c r="AU44" s="22">
        <v>0</v>
      </c>
      <c r="AV44" s="22">
        <f t="shared" si="64"/>
        <v>0</v>
      </c>
      <c r="AW44" s="23" t="str">
        <f>IF(SUMPRODUCT($K$58:AV$58,$K44:AV44)&lt;0.5, "Pending", IF(AV44&lt;0.5, "Complete", "In Progress"))</f>
        <v>Pending</v>
      </c>
      <c r="AX44" s="22">
        <v>0</v>
      </c>
      <c r="AY44" s="22">
        <f t="shared" si="65"/>
        <v>0</v>
      </c>
      <c r="AZ44" s="23" t="str">
        <f>IF(SUMPRODUCT($K$58:AY$58,$K44:AY44)&lt;0.5, "Pending", IF(AY44&lt;0.5, "Complete", "In Progress"))</f>
        <v>Pending</v>
      </c>
      <c r="BA44" s="22">
        <v>0</v>
      </c>
      <c r="BB44" s="22">
        <f t="shared" si="66"/>
        <v>0</v>
      </c>
      <c r="BC44" s="23" t="str">
        <f>IF(SUMPRODUCT($K$58:BB$58,$K44:BB44)&lt;0.5, "Pending", IF(BB44&lt;0.5, "Complete", "In Progress"))</f>
        <v>Pending</v>
      </c>
      <c r="BD44" s="22">
        <v>0</v>
      </c>
      <c r="BE44" s="22">
        <f t="shared" si="67"/>
        <v>0</v>
      </c>
      <c r="BF44" s="23" t="str">
        <f>IF(SUMPRODUCT($K$58:BE$58,$K44:BE44)&lt;0.5, "Pending", IF(BE44&lt;0.5, "Complete", "In Progress"))</f>
        <v>Pending</v>
      </c>
      <c r="BG44" s="22">
        <v>0</v>
      </c>
      <c r="BH44" s="22">
        <f t="shared" si="68"/>
        <v>0</v>
      </c>
      <c r="BI44" s="23" t="str">
        <f>IF(SUMPRODUCT($K$58:BH$58,$K44:BH44)&lt;0.5, "Pending", IF(BH44&lt;0.5, "Complete", "In Progress"))</f>
        <v>Pending</v>
      </c>
      <c r="BJ44" s="22">
        <v>0</v>
      </c>
      <c r="BK44" s="22">
        <f t="shared" si="69"/>
        <v>0</v>
      </c>
      <c r="BL44" s="23" t="str">
        <f>IF(SUMPRODUCT($K$58:BK$58,$K44:BK44)&lt;0.5, "Pending", IF(BK44&lt;0.5, "Complete", "In Progress"))</f>
        <v>Pending</v>
      </c>
      <c r="BM44" s="22">
        <v>0</v>
      </c>
      <c r="BN44" s="22">
        <f t="shared" si="70"/>
        <v>0</v>
      </c>
      <c r="BO44" s="23" t="str">
        <f>IF(SUMPRODUCT($K$58:BN$58,$K44:BN44)&lt;0.5, "Pending", IF(BN44&lt;0.5, "Complete", "In Progress"))</f>
        <v>Pending</v>
      </c>
      <c r="BP44" s="22">
        <v>0</v>
      </c>
      <c r="BQ44" s="22">
        <f t="shared" si="71"/>
        <v>0</v>
      </c>
      <c r="BR44" s="23" t="str">
        <f>IF(SUMPRODUCT($K$58:BQ$58,$K44:BQ44)&lt;0.5, "Pending", IF(BQ44&lt;0.5, "Complete", "In Progress"))</f>
        <v>Pending</v>
      </c>
      <c r="BS44" s="22">
        <v>0</v>
      </c>
      <c r="BT44" s="22">
        <f t="shared" si="72"/>
        <v>0</v>
      </c>
      <c r="BU44" s="23" t="str">
        <f>IF(SUMPRODUCT($K$58:BT$58,$K44:BT44)&lt;0.5, "Pending", IF(BT44&lt;0.5, "Complete", "In Progress"))</f>
        <v>Pending</v>
      </c>
      <c r="BV44" s="22">
        <v>0</v>
      </c>
      <c r="BW44" s="22">
        <f t="shared" si="73"/>
        <v>0</v>
      </c>
      <c r="BX44" s="23" t="str">
        <f>IF(SUMPRODUCT($K$58:BW$58,$K44:BW44)&lt;0.5, "Pending", IF(BW44&lt;0.5, "Complete", "In Progress"))</f>
        <v>Pending</v>
      </c>
      <c r="BY44" s="22">
        <v>0</v>
      </c>
      <c r="BZ44" s="22">
        <f t="shared" si="74"/>
        <v>0</v>
      </c>
      <c r="CA44" s="23" t="str">
        <f>IF(SUMPRODUCT($K$58:BZ$58,$K44:BZ44)&lt;0.5, "Pending", IF(BZ44&lt;0.5, "Complete", "In Progress"))</f>
        <v>Pending</v>
      </c>
      <c r="CB44" s="22">
        <v>0</v>
      </c>
      <c r="CC44" s="22">
        <f t="shared" si="75"/>
        <v>0</v>
      </c>
      <c r="CD44" s="23" t="str">
        <f>IF(SUMPRODUCT($K$58:CC$58,$K44:CC44)&lt;0.5, "Pending", IF(CC44&lt;0.5, "Complete", "In Progress"))</f>
        <v>Pending</v>
      </c>
      <c r="CE44" s="22">
        <v>0</v>
      </c>
      <c r="CF44" s="22">
        <f t="shared" si="76"/>
        <v>0</v>
      </c>
      <c r="CG44" s="23" t="str">
        <f>IF(SUMPRODUCT($K$58:CF$58,$K44:CF44)&lt;0.5, "Pending", IF(CF44&lt;0.5, "Complete", "In Progress"))</f>
        <v>Pending</v>
      </c>
      <c r="CH44" s="22">
        <v>0</v>
      </c>
      <c r="CI44" s="22">
        <f t="shared" si="77"/>
        <v>0</v>
      </c>
      <c r="CJ44" s="23" t="str">
        <f>IF(SUMPRODUCT($K$58:CI$58,$K44:CI44)&lt;0.5, "Pending", IF(CI44&lt;0.5, "Complete", "In Progress"))</f>
        <v>Pending</v>
      </c>
      <c r="CK44" s="22">
        <v>0</v>
      </c>
      <c r="CL44" s="22">
        <f t="shared" si="78"/>
        <v>0</v>
      </c>
      <c r="CM44" s="23" t="str">
        <f>IF(SUMPRODUCT($K$58:CL$58,$K44:CL44)&lt;0.5, "Pending", IF(CL44&lt;0.5, "Complete", "In Progress"))</f>
        <v>Pending</v>
      </c>
      <c r="CN44" s="22">
        <v>0</v>
      </c>
      <c r="CO44" s="22">
        <f t="shared" si="79"/>
        <v>0</v>
      </c>
      <c r="CP44" s="23" t="str">
        <f>IF(SUMPRODUCT($K$58:CO$58,$K44:CO44)&lt;0.5, "Pending", IF(CO44&lt;0.5, "Complete", "In Progress"))</f>
        <v>Pending</v>
      </c>
      <c r="CQ44" s="22">
        <v>0</v>
      </c>
      <c r="CR44" s="22">
        <f t="shared" si="80"/>
        <v>0</v>
      </c>
      <c r="CS44" s="23" t="str">
        <f>IF(SUMPRODUCT($K$58:CR$58,$K44:CR44)&lt;0.5, "Pending", IF(CR44&lt;0.5, "Complete", "In Progress"))</f>
        <v>Pending</v>
      </c>
      <c r="CT44" s="22">
        <v>0</v>
      </c>
      <c r="CU44" s="22">
        <f t="shared" si="81"/>
        <v>0</v>
      </c>
      <c r="CV44" s="23" t="str">
        <f>IF(SUMPRODUCT($K$58:CU$58,$K44:CU44)&lt;0.5, "Pending", IF(CU44&lt;0.5, "Complete", "In Progress"))</f>
        <v>Pending</v>
      </c>
      <c r="CW44" s="22">
        <v>0</v>
      </c>
      <c r="CX44" s="22">
        <f t="shared" si="82"/>
        <v>0</v>
      </c>
      <c r="CY44" s="23" t="str">
        <f>IF(SUMPRODUCT($K$58:CX$58,$K44:CX44)&lt;0.5, "Pending", IF(CX44&lt;0.5, "Complete", "In Progress"))</f>
        <v>Pending</v>
      </c>
      <c r="CZ44" s="22">
        <v>0</v>
      </c>
      <c r="DA44" s="22">
        <f t="shared" si="83"/>
        <v>0</v>
      </c>
      <c r="DB44" s="23" t="str">
        <f>IF(SUMPRODUCT($K$58:DA$58,$K44:DA44)&lt;0.5, "Pending", IF(DA44&lt;0.5, "Complete", "In Progress"))</f>
        <v>Pending</v>
      </c>
      <c r="DC44" s="22">
        <v>0</v>
      </c>
      <c r="DD44" s="22">
        <f t="shared" si="84"/>
        <v>0</v>
      </c>
      <c r="DE44" s="23" t="str">
        <f>IF(SUMPRODUCT($K$58:DD$58,$K44:DD44)&lt;0.5, "Pending", IF(DD44&lt;0.5, "Complete", "In Progress"))</f>
        <v>Pending</v>
      </c>
      <c r="DF44" s="22">
        <v>0</v>
      </c>
      <c r="DG44" s="22">
        <f t="shared" si="85"/>
        <v>0</v>
      </c>
      <c r="DH44" s="23" t="str">
        <f>IF(SUMPRODUCT($K$58:DG$58,$K44:DG44)&lt;0.5, "Pending", IF(DG44&lt;0.5, "Complete", "In Progress"))</f>
        <v>Pending</v>
      </c>
      <c r="DI44" s="22">
        <v>0</v>
      </c>
      <c r="DJ44" s="22">
        <f t="shared" si="86"/>
        <v>0</v>
      </c>
      <c r="DK44" s="23" t="str">
        <f>IF(SUMPRODUCT($K$58:DJ$58,$K44:DJ44)&lt;0.5, "Pending", IF(DJ44&lt;0.5, "Complete", "In Progress"))</f>
        <v>Pending</v>
      </c>
      <c r="DL44" s="22">
        <v>0</v>
      </c>
      <c r="DM44" s="22">
        <f t="shared" si="87"/>
        <v>0</v>
      </c>
      <c r="DN44" s="23" t="str">
        <f>IF(SUMPRODUCT($K$58:DM$58,$K44:DM44)&lt;0.5, "Pending", IF(DM44&lt;0.5, "Complete", "In Progress"))</f>
        <v>Pending</v>
      </c>
      <c r="DO44" s="22">
        <v>0</v>
      </c>
      <c r="DP44" s="22">
        <f t="shared" si="88"/>
        <v>0</v>
      </c>
      <c r="DQ44" s="23" t="str">
        <f>IF(SUMPRODUCT($K$58:DP$58,$K44:DP44)&lt;0.5, "Pending", IF(DP44&lt;0.5, "Complete", "In Progress"))</f>
        <v>Pending</v>
      </c>
      <c r="DR44" s="22">
        <v>0</v>
      </c>
      <c r="DS44" s="22">
        <f t="shared" si="89"/>
        <v>0</v>
      </c>
      <c r="DT44" s="23" t="str">
        <f>IF(SUMPRODUCT($K$58:DS$58,$K44:DS44)&lt;0.5, "Pending", IF(DS44&lt;0.5, "Complete", "In Progress"))</f>
        <v>Pending</v>
      </c>
      <c r="DU44" s="22">
        <v>0</v>
      </c>
      <c r="DV44" s="22">
        <f t="shared" si="90"/>
        <v>0</v>
      </c>
      <c r="DW44" s="23" t="str">
        <f>IF(SUMPRODUCT($K$58:DV$58,$K44:DV44)&lt;0.5, "Pending", IF(DV44&lt;0.5, "Complete", "In Progress"))</f>
        <v>Pending</v>
      </c>
      <c r="DX44" s="22">
        <v>0</v>
      </c>
      <c r="DY44" s="22">
        <f t="shared" si="91"/>
        <v>0</v>
      </c>
      <c r="DZ44" s="23" t="str">
        <f>IF(SUMPRODUCT($K$58:DY$58,$K44:DY44)&lt;0.5, "Pending", IF(DY44&lt;0.5, "Complete", "In Progress"))</f>
        <v>Pending</v>
      </c>
      <c r="EA44" s="24"/>
      <c r="EB44" s="25">
        <f>SUMPRODUCT($I$58:DH$58,$I44:DH44)</f>
        <v>0</v>
      </c>
    </row>
    <row r="45" spans="1:132" ht="12.75" customHeight="1" x14ac:dyDescent="0.25">
      <c r="A45" s="16"/>
      <c r="B45" s="17"/>
      <c r="C45" s="187"/>
      <c r="D45" s="170"/>
      <c r="E45" s="169"/>
      <c r="F45" s="18"/>
      <c r="G45" s="19" t="str">
        <f t="shared" ca="1" si="0"/>
        <v>Pending</v>
      </c>
      <c r="H45" s="21"/>
      <c r="I45" s="21">
        <f t="shared" si="1"/>
        <v>0</v>
      </c>
      <c r="J45" s="195">
        <v>0</v>
      </c>
      <c r="K45" s="22">
        <v>0</v>
      </c>
      <c r="L45" s="22">
        <f t="shared" ref="L45:L46" si="92">MAX(J45-K45, 0)</f>
        <v>0</v>
      </c>
      <c r="M45" s="23" t="str">
        <f>IF(SUMPRODUCT($K$58:L$58,$K45:L45)&lt;0.5, "Pending", IF(L45&lt;0.5, "Complete", "In Progress"))</f>
        <v>Pending</v>
      </c>
      <c r="N45" s="22">
        <v>0</v>
      </c>
      <c r="O45" s="22">
        <f t="shared" ref="O45:O46" si="93">MAX(L45-N45,0)</f>
        <v>0</v>
      </c>
      <c r="P45" s="23" t="str">
        <f>IF(SUMPRODUCT($K$58:O$58,$K45:O45)&lt;0.5, "Pending", IF(O45&lt;0.5, "Complete", "In Progress"))</f>
        <v>Pending</v>
      </c>
      <c r="Q45" s="22">
        <v>0</v>
      </c>
      <c r="R45" s="22">
        <f t="shared" ref="R45:R46" si="94">MAX(O45-Q45,0)</f>
        <v>0</v>
      </c>
      <c r="S45" s="23" t="str">
        <f>IF(SUMPRODUCT($K$58:R$58,$K45:R45)&lt;0.5, "Pending", IF(R45&lt;0.5, "Complete", "In Progress"))</f>
        <v>Pending</v>
      </c>
      <c r="T45" s="22">
        <v>0</v>
      </c>
      <c r="U45" s="22">
        <f t="shared" ref="U45:U46" si="95">MAX(R45-T45,0)</f>
        <v>0</v>
      </c>
      <c r="V45" s="23" t="str">
        <f>IF(SUMPRODUCT($K$58:U$58,$K45:U45)&lt;0.5, "Pending", IF(U45&lt;0.5, "Complete", "In Progress"))</f>
        <v>Pending</v>
      </c>
      <c r="W45" s="22">
        <v>0</v>
      </c>
      <c r="X45" s="22">
        <f t="shared" ref="X45:X46" si="96">MAX(U45-W45,0)</f>
        <v>0</v>
      </c>
      <c r="Y45" s="23" t="str">
        <f>IF(SUMPRODUCT($K$58:X$58,$K45:X45)&lt;0.5, "Pending", IF(X45&lt;0.5, "Complete", "In Progress"))</f>
        <v>Pending</v>
      </c>
      <c r="Z45" s="22">
        <v>0</v>
      </c>
      <c r="AA45" s="22">
        <f t="shared" ref="AA45:AA46" si="97">MAX(X45-Z45,0)</f>
        <v>0</v>
      </c>
      <c r="AB45" s="23" t="str">
        <f>IF(SUMPRODUCT($K$58:AA$58,$K45:AA45)&lt;0.5, "Pending", IF(AA45&lt;0.5, "Complete", "In Progress"))</f>
        <v>Pending</v>
      </c>
      <c r="AC45" s="22">
        <v>0</v>
      </c>
      <c r="AD45" s="22">
        <f t="shared" ref="AD45:AD46" si="98">MAX(AA45-AC45,0)</f>
        <v>0</v>
      </c>
      <c r="AE45" s="23" t="str">
        <f>IF(SUMPRODUCT($K$58:AD$58,$K45:AD45)&lt;0.5, "Pending", IF(AD45&lt;0.5, "Complete", "In Progress"))</f>
        <v>Pending</v>
      </c>
      <c r="AF45" s="22">
        <v>0</v>
      </c>
      <c r="AG45" s="22">
        <f t="shared" ref="AG45:AG46" si="99">MAX(AD45-AF45,0)</f>
        <v>0</v>
      </c>
      <c r="AH45" s="23" t="str">
        <f>IF(SUMPRODUCT($K$58:AG$58,$K45:AG45)&lt;0.5, "Pending", IF(AG45&lt;0.5, "Complete", "In Progress"))</f>
        <v>Pending</v>
      </c>
      <c r="AI45" s="22">
        <v>0</v>
      </c>
      <c r="AJ45" s="22">
        <f t="shared" ref="AJ45:AJ46" si="100">MAX(AG45-AI45,0)</f>
        <v>0</v>
      </c>
      <c r="AK45" s="23" t="str">
        <f>IF(SUMPRODUCT($K$58:AJ$58,$K45:AJ45)&lt;0.5, "Pending", IF(AJ45&lt;0.5, "Complete", "In Progress"))</f>
        <v>Pending</v>
      </c>
      <c r="AL45" s="22">
        <v>0</v>
      </c>
      <c r="AM45" s="22">
        <f t="shared" ref="AM45:AM46" si="101">MAX(AJ45-AL45,0)</f>
        <v>0</v>
      </c>
      <c r="AN45" s="23" t="str">
        <f>IF(SUMPRODUCT($K$58:AM$58,$K45:AM45)&lt;0.5, "Pending", IF(AM45&lt;0.5, "Complete", "In Progress"))</f>
        <v>Pending</v>
      </c>
      <c r="AO45" s="22">
        <v>0</v>
      </c>
      <c r="AP45" s="22">
        <f t="shared" ref="AP45:AP46" si="102">MAX(AM45-AO45,0)</f>
        <v>0</v>
      </c>
      <c r="AQ45" s="23" t="str">
        <f>IF(SUMPRODUCT($K$58:AP$58,$K45:AP45)&lt;0.5, "Pending", IF(AP45&lt;0.5, "Complete", "In Progress"))</f>
        <v>Pending</v>
      </c>
      <c r="AR45" s="22">
        <v>0</v>
      </c>
      <c r="AS45" s="22">
        <f t="shared" ref="AS45:AS46" si="103">MAX(AP45-AR45,0)</f>
        <v>0</v>
      </c>
      <c r="AT45" s="23" t="str">
        <f>IF(SUMPRODUCT($K$58:AS$58,$K45:AS45)&lt;0.5, "Pending", IF(AS45&lt;0.5, "Complete", "In Progress"))</f>
        <v>Pending</v>
      </c>
      <c r="AU45" s="22">
        <v>0</v>
      </c>
      <c r="AV45" s="22">
        <f t="shared" ref="AV45:AV46" si="104">MAX(AS45-AU45,0)</f>
        <v>0</v>
      </c>
      <c r="AW45" s="23" t="str">
        <f>IF(SUMPRODUCT($K$58:AV$58,$K45:AV45)&lt;0.5, "Pending", IF(AV45&lt;0.5, "Complete", "In Progress"))</f>
        <v>Pending</v>
      </c>
      <c r="AX45" s="22">
        <v>0</v>
      </c>
      <c r="AY45" s="22">
        <f t="shared" ref="AY45:AY46" si="105">MAX(AV45-AX45,0)</f>
        <v>0</v>
      </c>
      <c r="AZ45" s="23" t="str">
        <f>IF(SUMPRODUCT($K$58:AY$58,$K45:AY45)&lt;0.5, "Pending", IF(AY45&lt;0.5, "Complete", "In Progress"))</f>
        <v>Pending</v>
      </c>
      <c r="BA45" s="22">
        <v>0</v>
      </c>
      <c r="BB45" s="22">
        <f t="shared" ref="BB45:BB46" si="106">MAX(AY45-BA45,0)</f>
        <v>0</v>
      </c>
      <c r="BC45" s="23" t="str">
        <f>IF(SUMPRODUCT($K$58:BB$58,$K45:BB45)&lt;0.5, "Pending", IF(BB45&lt;0.5, "Complete", "In Progress"))</f>
        <v>Pending</v>
      </c>
      <c r="BD45" s="22">
        <v>0</v>
      </c>
      <c r="BE45" s="22">
        <f t="shared" ref="BE45:BE46" si="107">MAX(BB45-BD45,0)</f>
        <v>0</v>
      </c>
      <c r="BF45" s="23" t="str">
        <f>IF(SUMPRODUCT($K$58:BE$58,$K45:BE45)&lt;0.5, "Pending", IF(BE45&lt;0.5, "Complete", "In Progress"))</f>
        <v>Pending</v>
      </c>
      <c r="BG45" s="22">
        <v>0</v>
      </c>
      <c r="BH45" s="22">
        <f t="shared" ref="BH45:BH46" si="108">MAX(BE45-BG45,0)</f>
        <v>0</v>
      </c>
      <c r="BI45" s="23" t="str">
        <f>IF(SUMPRODUCT($K$58:BH$58,$K45:BH45)&lt;0.5, "Pending", IF(BH45&lt;0.5, "Complete", "In Progress"))</f>
        <v>Pending</v>
      </c>
      <c r="BJ45" s="22">
        <v>0</v>
      </c>
      <c r="BK45" s="22">
        <f t="shared" ref="BK45:BK46" si="109">MAX(BH45-BJ45,0)</f>
        <v>0</v>
      </c>
      <c r="BL45" s="23" t="str">
        <f>IF(SUMPRODUCT($K$58:BK$58,$K45:BK45)&lt;0.5, "Pending", IF(BK45&lt;0.5, "Complete", "In Progress"))</f>
        <v>Pending</v>
      </c>
      <c r="BM45" s="22">
        <v>0</v>
      </c>
      <c r="BN45" s="22">
        <f t="shared" ref="BN45:BN46" si="110">MAX(BK45-BM45,0)</f>
        <v>0</v>
      </c>
      <c r="BO45" s="23" t="str">
        <f>IF(SUMPRODUCT($K$58:BN$58,$K45:BN45)&lt;0.5, "Pending", IF(BN45&lt;0.5, "Complete", "In Progress"))</f>
        <v>Pending</v>
      </c>
      <c r="BP45" s="22">
        <v>0</v>
      </c>
      <c r="BQ45" s="22">
        <f t="shared" ref="BQ45:BQ46" si="111">MAX(BN45-BP45,0)</f>
        <v>0</v>
      </c>
      <c r="BR45" s="23" t="str">
        <f>IF(SUMPRODUCT($K$58:BQ$58,$K45:BQ45)&lt;0.5, "Pending", IF(BQ45&lt;0.5, "Complete", "In Progress"))</f>
        <v>Pending</v>
      </c>
      <c r="BS45" s="22">
        <v>0</v>
      </c>
      <c r="BT45" s="22">
        <f t="shared" ref="BT45:BT46" si="112">MAX(BQ45-BS45,0)</f>
        <v>0</v>
      </c>
      <c r="BU45" s="23" t="str">
        <f>IF(SUMPRODUCT($K$58:BT$58,$K45:BT45)&lt;0.5, "Pending", IF(BT45&lt;0.5, "Complete", "In Progress"))</f>
        <v>Pending</v>
      </c>
      <c r="BV45" s="22">
        <v>0</v>
      </c>
      <c r="BW45" s="22">
        <f t="shared" ref="BW45:BW46" si="113">MAX(BT45-BV45,0)</f>
        <v>0</v>
      </c>
      <c r="BX45" s="23" t="str">
        <f>IF(SUMPRODUCT($K$58:BW$58,$K45:BW45)&lt;0.5, "Pending", IF(BW45&lt;0.5, "Complete", "In Progress"))</f>
        <v>Pending</v>
      </c>
      <c r="BY45" s="22">
        <v>0</v>
      </c>
      <c r="BZ45" s="22">
        <f t="shared" ref="BZ45:BZ46" si="114">MAX(BW45-BY45,0)</f>
        <v>0</v>
      </c>
      <c r="CA45" s="23" t="str">
        <f>IF(SUMPRODUCT($K$58:BZ$58,$K45:BZ45)&lt;0.5, "Pending", IF(BZ45&lt;0.5, "Complete", "In Progress"))</f>
        <v>Pending</v>
      </c>
      <c r="CB45" s="22">
        <v>0</v>
      </c>
      <c r="CC45" s="22">
        <f t="shared" ref="CC45:CC46" si="115">MAX(BZ45-CB45,0)</f>
        <v>0</v>
      </c>
      <c r="CD45" s="23" t="str">
        <f>IF(SUMPRODUCT($K$58:CC$58,$K45:CC45)&lt;0.5, "Pending", IF(CC45&lt;0.5, "Complete", "In Progress"))</f>
        <v>Pending</v>
      </c>
      <c r="CE45" s="22">
        <v>0</v>
      </c>
      <c r="CF45" s="22">
        <f t="shared" ref="CF45:CF46" si="116">MAX(CC45-CE45,0)</f>
        <v>0</v>
      </c>
      <c r="CG45" s="23" t="str">
        <f>IF(SUMPRODUCT($K$58:CF$58,$K45:CF45)&lt;0.5, "Pending", IF(CF45&lt;0.5, "Complete", "In Progress"))</f>
        <v>Pending</v>
      </c>
      <c r="CH45" s="22">
        <v>0</v>
      </c>
      <c r="CI45" s="22">
        <f t="shared" ref="CI45:CI46" si="117">MAX(CF45-CH45,0)</f>
        <v>0</v>
      </c>
      <c r="CJ45" s="23" t="str">
        <f>IF(SUMPRODUCT($K$58:CI$58,$K45:CI45)&lt;0.5, "Pending", IF(CI45&lt;0.5, "Complete", "In Progress"))</f>
        <v>Pending</v>
      </c>
      <c r="CK45" s="22">
        <v>0</v>
      </c>
      <c r="CL45" s="22">
        <f t="shared" ref="CL45:CL46" si="118">MAX(CI45-CK45,0)</f>
        <v>0</v>
      </c>
      <c r="CM45" s="23" t="str">
        <f>IF(SUMPRODUCT($K$58:CL$58,$K45:CL45)&lt;0.5, "Pending", IF(CL45&lt;0.5, "Complete", "In Progress"))</f>
        <v>Pending</v>
      </c>
      <c r="CN45" s="22">
        <v>0</v>
      </c>
      <c r="CO45" s="22">
        <f t="shared" ref="CO45:CO46" si="119">MAX(CL45-CN45,0)</f>
        <v>0</v>
      </c>
      <c r="CP45" s="23" t="str">
        <f>IF(SUMPRODUCT($K$58:CO$58,$K45:CO45)&lt;0.5, "Pending", IF(CO45&lt;0.5, "Complete", "In Progress"))</f>
        <v>Pending</v>
      </c>
      <c r="CQ45" s="22">
        <v>0</v>
      </c>
      <c r="CR45" s="22">
        <f t="shared" ref="CR45:CR46" si="120">MAX(CO45-CQ45,0)</f>
        <v>0</v>
      </c>
      <c r="CS45" s="23" t="str">
        <f>IF(SUMPRODUCT($K$58:CR$58,$K45:CR45)&lt;0.5, "Pending", IF(CR45&lt;0.5, "Complete", "In Progress"))</f>
        <v>Pending</v>
      </c>
      <c r="CT45" s="22">
        <v>0</v>
      </c>
      <c r="CU45" s="22">
        <f t="shared" ref="CU45:CU46" si="121">MAX(CR45-CT45,0)</f>
        <v>0</v>
      </c>
      <c r="CV45" s="23" t="str">
        <f>IF(SUMPRODUCT($K$58:CU$58,$K45:CU45)&lt;0.5, "Pending", IF(CU45&lt;0.5, "Complete", "In Progress"))</f>
        <v>Pending</v>
      </c>
      <c r="CW45" s="22">
        <v>0</v>
      </c>
      <c r="CX45" s="22">
        <f t="shared" ref="CX45:CX46" si="122">MAX(CU45-CW45,0)</f>
        <v>0</v>
      </c>
      <c r="CY45" s="23" t="str">
        <f>IF(SUMPRODUCT($K$58:CX$58,$K45:CX45)&lt;0.5, "Pending", IF(CX45&lt;0.5, "Complete", "In Progress"))</f>
        <v>Pending</v>
      </c>
      <c r="CZ45" s="22">
        <v>0</v>
      </c>
      <c r="DA45" s="22">
        <f t="shared" ref="DA45:DA46" si="123">MAX(CX45-CZ45,0)</f>
        <v>0</v>
      </c>
      <c r="DB45" s="23" t="str">
        <f>IF(SUMPRODUCT($K$58:DA$58,$K45:DA45)&lt;0.5, "Pending", IF(DA45&lt;0.5, "Complete", "In Progress"))</f>
        <v>Pending</v>
      </c>
      <c r="DC45" s="22">
        <v>0</v>
      </c>
      <c r="DD45" s="22">
        <f t="shared" ref="DD45:DD46" si="124">MAX(DA45-DC45,0)</f>
        <v>0</v>
      </c>
      <c r="DE45" s="23" t="str">
        <f>IF(SUMPRODUCT($K$58:DD$58,$K45:DD45)&lt;0.5, "Pending", IF(DD45&lt;0.5, "Complete", "In Progress"))</f>
        <v>Pending</v>
      </c>
      <c r="DF45" s="22">
        <v>0</v>
      </c>
      <c r="DG45" s="22">
        <f t="shared" ref="DG45:DG46" si="125">MAX(DD45-DF45,0)</f>
        <v>0</v>
      </c>
      <c r="DH45" s="23" t="str">
        <f>IF(SUMPRODUCT($K$58:DG$58,$K45:DG45)&lt;0.5, "Pending", IF(DG45&lt;0.5, "Complete", "In Progress"))</f>
        <v>Pending</v>
      </c>
      <c r="DI45" s="22">
        <v>0</v>
      </c>
      <c r="DJ45" s="22">
        <f t="shared" ref="DJ45:DJ46" si="126">MAX(DG45-DI45,0)</f>
        <v>0</v>
      </c>
      <c r="DK45" s="23" t="str">
        <f>IF(SUMPRODUCT($K$58:DJ$58,$K45:DJ45)&lt;0.5, "Pending", IF(DJ45&lt;0.5, "Complete", "In Progress"))</f>
        <v>Pending</v>
      </c>
      <c r="DL45" s="22">
        <v>0</v>
      </c>
      <c r="DM45" s="22">
        <f t="shared" ref="DM45:DM46" si="127">MAX(DJ45-DL45,0)</f>
        <v>0</v>
      </c>
      <c r="DN45" s="23" t="str">
        <f>IF(SUMPRODUCT($K$58:DM$58,$K45:DM45)&lt;0.5, "Pending", IF(DM45&lt;0.5, "Complete", "In Progress"))</f>
        <v>Pending</v>
      </c>
      <c r="DO45" s="22">
        <v>0</v>
      </c>
      <c r="DP45" s="22">
        <f t="shared" ref="DP45:DP46" si="128">MAX(DM45-DO45,0)</f>
        <v>0</v>
      </c>
      <c r="DQ45" s="23" t="str">
        <f>IF(SUMPRODUCT($K$58:DP$58,$K45:DP45)&lt;0.5, "Pending", IF(DP45&lt;0.5, "Complete", "In Progress"))</f>
        <v>Pending</v>
      </c>
      <c r="DR45" s="22">
        <v>0</v>
      </c>
      <c r="DS45" s="22">
        <f t="shared" ref="DS45:DS46" si="129">MAX(DP45-DR45,0)</f>
        <v>0</v>
      </c>
      <c r="DT45" s="23" t="str">
        <f>IF(SUMPRODUCT($K$58:DS$58,$K45:DS45)&lt;0.5, "Pending", IF(DS45&lt;0.5, "Complete", "In Progress"))</f>
        <v>Pending</v>
      </c>
      <c r="DU45" s="22">
        <v>0</v>
      </c>
      <c r="DV45" s="22">
        <f t="shared" ref="DV45:DV46" si="130">MAX(DS45-DU45,0)</f>
        <v>0</v>
      </c>
      <c r="DW45" s="23" t="str">
        <f>IF(SUMPRODUCT($K$58:DV$58,$K45:DV45)&lt;0.5, "Pending", IF(DV45&lt;0.5, "Complete", "In Progress"))</f>
        <v>Pending</v>
      </c>
      <c r="DX45" s="22">
        <v>0</v>
      </c>
      <c r="DY45" s="22">
        <f t="shared" ref="DY45:DY46" si="131">MAX(DV45-DX45,0)</f>
        <v>0</v>
      </c>
      <c r="DZ45" s="23" t="str">
        <f>IF(SUMPRODUCT($K$58:DY$58,$K45:DY45)&lt;0.5, "Pending", IF(DY45&lt;0.5, "Complete", "In Progress"))</f>
        <v>Pending</v>
      </c>
      <c r="EA45" s="24"/>
      <c r="EB45" s="25">
        <f>SUMPRODUCT($I$58:DH$58,$I45:DH45)</f>
        <v>0</v>
      </c>
    </row>
    <row r="46" spans="1:132" ht="12.75" customHeight="1" x14ac:dyDescent="0.25">
      <c r="A46" s="16"/>
      <c r="B46" s="17"/>
      <c r="C46" s="187"/>
      <c r="D46" s="170"/>
      <c r="E46" s="169"/>
      <c r="F46" s="18"/>
      <c r="G46" s="19" t="str">
        <f t="shared" ca="1" si="0"/>
        <v>Pending</v>
      </c>
      <c r="H46" s="21"/>
      <c r="I46" s="21">
        <f t="shared" si="1"/>
        <v>0</v>
      </c>
      <c r="J46" s="195">
        <v>0</v>
      </c>
      <c r="K46" s="22">
        <v>0</v>
      </c>
      <c r="L46" s="22">
        <f t="shared" si="92"/>
        <v>0</v>
      </c>
      <c r="M46" s="23" t="str">
        <f>IF(SUMPRODUCT($K$58:L$58,$K46:L46)&lt;0.5, "Pending", IF(L46&lt;0.5, "Complete", "In Progress"))</f>
        <v>Pending</v>
      </c>
      <c r="N46" s="22">
        <v>0</v>
      </c>
      <c r="O46" s="22">
        <f t="shared" si="93"/>
        <v>0</v>
      </c>
      <c r="P46" s="23" t="str">
        <f>IF(SUMPRODUCT($K$58:O$58,$K46:O46)&lt;0.5, "Pending", IF(O46&lt;0.5, "Complete", "In Progress"))</f>
        <v>Pending</v>
      </c>
      <c r="Q46" s="22">
        <v>0</v>
      </c>
      <c r="R46" s="22">
        <f t="shared" si="94"/>
        <v>0</v>
      </c>
      <c r="S46" s="23" t="str">
        <f>IF(SUMPRODUCT($K$58:R$58,$K46:R46)&lt;0.5, "Pending", IF(R46&lt;0.5, "Complete", "In Progress"))</f>
        <v>Pending</v>
      </c>
      <c r="T46" s="22">
        <v>0</v>
      </c>
      <c r="U46" s="22">
        <f t="shared" si="95"/>
        <v>0</v>
      </c>
      <c r="V46" s="23" t="str">
        <f>IF(SUMPRODUCT($K$58:U$58,$K46:U46)&lt;0.5, "Pending", IF(U46&lt;0.5, "Complete", "In Progress"))</f>
        <v>Pending</v>
      </c>
      <c r="W46" s="22">
        <v>0</v>
      </c>
      <c r="X46" s="22">
        <f t="shared" si="96"/>
        <v>0</v>
      </c>
      <c r="Y46" s="23" t="str">
        <f>IF(SUMPRODUCT($K$58:X$58,$K46:X46)&lt;0.5, "Pending", IF(X46&lt;0.5, "Complete", "In Progress"))</f>
        <v>Pending</v>
      </c>
      <c r="Z46" s="22">
        <v>0</v>
      </c>
      <c r="AA46" s="22">
        <f t="shared" si="97"/>
        <v>0</v>
      </c>
      <c r="AB46" s="23" t="str">
        <f>IF(SUMPRODUCT($K$58:AA$58,$K46:AA46)&lt;0.5, "Pending", IF(AA46&lt;0.5, "Complete", "In Progress"))</f>
        <v>Pending</v>
      </c>
      <c r="AC46" s="22">
        <v>0</v>
      </c>
      <c r="AD46" s="22">
        <f t="shared" si="98"/>
        <v>0</v>
      </c>
      <c r="AE46" s="23" t="str">
        <f>IF(SUMPRODUCT($K$58:AD$58,$K46:AD46)&lt;0.5, "Pending", IF(AD46&lt;0.5, "Complete", "In Progress"))</f>
        <v>Pending</v>
      </c>
      <c r="AF46" s="22">
        <v>0</v>
      </c>
      <c r="AG46" s="22">
        <f t="shared" si="99"/>
        <v>0</v>
      </c>
      <c r="AH46" s="23" t="str">
        <f>IF(SUMPRODUCT($K$58:AG$58,$K46:AG46)&lt;0.5, "Pending", IF(AG46&lt;0.5, "Complete", "In Progress"))</f>
        <v>Pending</v>
      </c>
      <c r="AI46" s="22">
        <v>0</v>
      </c>
      <c r="AJ46" s="22">
        <f t="shared" si="100"/>
        <v>0</v>
      </c>
      <c r="AK46" s="23" t="str">
        <f>IF(SUMPRODUCT($K$58:AJ$58,$K46:AJ46)&lt;0.5, "Pending", IF(AJ46&lt;0.5, "Complete", "In Progress"))</f>
        <v>Pending</v>
      </c>
      <c r="AL46" s="22">
        <v>0</v>
      </c>
      <c r="AM46" s="22">
        <f t="shared" si="101"/>
        <v>0</v>
      </c>
      <c r="AN46" s="23" t="str">
        <f>IF(SUMPRODUCT($K$58:AM$58,$K46:AM46)&lt;0.5, "Pending", IF(AM46&lt;0.5, "Complete", "In Progress"))</f>
        <v>Pending</v>
      </c>
      <c r="AO46" s="22">
        <v>0</v>
      </c>
      <c r="AP46" s="22">
        <f t="shared" si="102"/>
        <v>0</v>
      </c>
      <c r="AQ46" s="23" t="str">
        <f>IF(SUMPRODUCT($K$58:AP$58,$K46:AP46)&lt;0.5, "Pending", IF(AP46&lt;0.5, "Complete", "In Progress"))</f>
        <v>Pending</v>
      </c>
      <c r="AR46" s="22">
        <v>0</v>
      </c>
      <c r="AS46" s="22">
        <f t="shared" si="103"/>
        <v>0</v>
      </c>
      <c r="AT46" s="23" t="str">
        <f>IF(SUMPRODUCT($K$58:AS$58,$K46:AS46)&lt;0.5, "Pending", IF(AS46&lt;0.5, "Complete", "In Progress"))</f>
        <v>Pending</v>
      </c>
      <c r="AU46" s="22">
        <v>0</v>
      </c>
      <c r="AV46" s="22">
        <f t="shared" si="104"/>
        <v>0</v>
      </c>
      <c r="AW46" s="23" t="str">
        <f>IF(SUMPRODUCT($K$58:AV$58,$K46:AV46)&lt;0.5, "Pending", IF(AV46&lt;0.5, "Complete", "In Progress"))</f>
        <v>Pending</v>
      </c>
      <c r="AX46" s="22">
        <v>0</v>
      </c>
      <c r="AY46" s="22">
        <f t="shared" si="105"/>
        <v>0</v>
      </c>
      <c r="AZ46" s="23" t="str">
        <f>IF(SUMPRODUCT($K$58:AY$58,$K46:AY46)&lt;0.5, "Pending", IF(AY46&lt;0.5, "Complete", "In Progress"))</f>
        <v>Pending</v>
      </c>
      <c r="BA46" s="22">
        <v>0</v>
      </c>
      <c r="BB46" s="22">
        <f t="shared" si="106"/>
        <v>0</v>
      </c>
      <c r="BC46" s="23" t="str">
        <f>IF(SUMPRODUCT($K$58:BB$58,$K46:BB46)&lt;0.5, "Pending", IF(BB46&lt;0.5, "Complete", "In Progress"))</f>
        <v>Pending</v>
      </c>
      <c r="BD46" s="22">
        <v>0</v>
      </c>
      <c r="BE46" s="22">
        <f t="shared" si="107"/>
        <v>0</v>
      </c>
      <c r="BF46" s="23" t="str">
        <f>IF(SUMPRODUCT($K$58:BE$58,$K46:BE46)&lt;0.5, "Pending", IF(BE46&lt;0.5, "Complete", "In Progress"))</f>
        <v>Pending</v>
      </c>
      <c r="BG46" s="22">
        <v>0</v>
      </c>
      <c r="BH46" s="22">
        <f t="shared" si="108"/>
        <v>0</v>
      </c>
      <c r="BI46" s="23" t="str">
        <f>IF(SUMPRODUCT($K$58:BH$58,$K46:BH46)&lt;0.5, "Pending", IF(BH46&lt;0.5, "Complete", "In Progress"))</f>
        <v>Pending</v>
      </c>
      <c r="BJ46" s="22">
        <v>0</v>
      </c>
      <c r="BK46" s="22">
        <f t="shared" si="109"/>
        <v>0</v>
      </c>
      <c r="BL46" s="23" t="str">
        <f>IF(SUMPRODUCT($K$58:BK$58,$K46:BK46)&lt;0.5, "Pending", IF(BK46&lt;0.5, "Complete", "In Progress"))</f>
        <v>Pending</v>
      </c>
      <c r="BM46" s="22">
        <v>0</v>
      </c>
      <c r="BN46" s="22">
        <f t="shared" si="110"/>
        <v>0</v>
      </c>
      <c r="BO46" s="23" t="str">
        <f>IF(SUMPRODUCT($K$58:BN$58,$K46:BN46)&lt;0.5, "Pending", IF(BN46&lt;0.5, "Complete", "In Progress"))</f>
        <v>Pending</v>
      </c>
      <c r="BP46" s="22">
        <v>0</v>
      </c>
      <c r="BQ46" s="22">
        <f t="shared" si="111"/>
        <v>0</v>
      </c>
      <c r="BR46" s="23" t="str">
        <f>IF(SUMPRODUCT($K$58:BQ$58,$K46:BQ46)&lt;0.5, "Pending", IF(BQ46&lt;0.5, "Complete", "In Progress"))</f>
        <v>Pending</v>
      </c>
      <c r="BS46" s="22">
        <v>0</v>
      </c>
      <c r="BT46" s="22">
        <f t="shared" si="112"/>
        <v>0</v>
      </c>
      <c r="BU46" s="23" t="str">
        <f>IF(SUMPRODUCT($K$58:BT$58,$K46:BT46)&lt;0.5, "Pending", IF(BT46&lt;0.5, "Complete", "In Progress"))</f>
        <v>Pending</v>
      </c>
      <c r="BV46" s="22">
        <v>0</v>
      </c>
      <c r="BW46" s="22">
        <f t="shared" si="113"/>
        <v>0</v>
      </c>
      <c r="BX46" s="23" t="str">
        <f>IF(SUMPRODUCT($K$58:BW$58,$K46:BW46)&lt;0.5, "Pending", IF(BW46&lt;0.5, "Complete", "In Progress"))</f>
        <v>Pending</v>
      </c>
      <c r="BY46" s="22">
        <v>0</v>
      </c>
      <c r="BZ46" s="22">
        <f t="shared" si="114"/>
        <v>0</v>
      </c>
      <c r="CA46" s="23" t="str">
        <f>IF(SUMPRODUCT($K$58:BZ$58,$K46:BZ46)&lt;0.5, "Pending", IF(BZ46&lt;0.5, "Complete", "In Progress"))</f>
        <v>Pending</v>
      </c>
      <c r="CB46" s="22">
        <v>0</v>
      </c>
      <c r="CC46" s="22">
        <f t="shared" si="115"/>
        <v>0</v>
      </c>
      <c r="CD46" s="23" t="str">
        <f>IF(SUMPRODUCT($K$58:CC$58,$K46:CC46)&lt;0.5, "Pending", IF(CC46&lt;0.5, "Complete", "In Progress"))</f>
        <v>Pending</v>
      </c>
      <c r="CE46" s="22">
        <v>0</v>
      </c>
      <c r="CF46" s="22">
        <f t="shared" si="116"/>
        <v>0</v>
      </c>
      <c r="CG46" s="23" t="str">
        <f>IF(SUMPRODUCT($K$58:CF$58,$K46:CF46)&lt;0.5, "Pending", IF(CF46&lt;0.5, "Complete", "In Progress"))</f>
        <v>Pending</v>
      </c>
      <c r="CH46" s="22">
        <v>0</v>
      </c>
      <c r="CI46" s="22">
        <f t="shared" si="117"/>
        <v>0</v>
      </c>
      <c r="CJ46" s="23" t="str">
        <f>IF(SUMPRODUCT($K$58:CI$58,$K46:CI46)&lt;0.5, "Pending", IF(CI46&lt;0.5, "Complete", "In Progress"))</f>
        <v>Pending</v>
      </c>
      <c r="CK46" s="22">
        <v>0</v>
      </c>
      <c r="CL46" s="22">
        <f t="shared" si="118"/>
        <v>0</v>
      </c>
      <c r="CM46" s="23" t="str">
        <f>IF(SUMPRODUCT($K$58:CL$58,$K46:CL46)&lt;0.5, "Pending", IF(CL46&lt;0.5, "Complete", "In Progress"))</f>
        <v>Pending</v>
      </c>
      <c r="CN46" s="22">
        <v>0</v>
      </c>
      <c r="CO46" s="22">
        <f t="shared" si="119"/>
        <v>0</v>
      </c>
      <c r="CP46" s="23" t="str">
        <f>IF(SUMPRODUCT($K$58:CO$58,$K46:CO46)&lt;0.5, "Pending", IF(CO46&lt;0.5, "Complete", "In Progress"))</f>
        <v>Pending</v>
      </c>
      <c r="CQ46" s="22">
        <v>0</v>
      </c>
      <c r="CR46" s="22">
        <f t="shared" si="120"/>
        <v>0</v>
      </c>
      <c r="CS46" s="23" t="str">
        <f>IF(SUMPRODUCT($K$58:CR$58,$K46:CR46)&lt;0.5, "Pending", IF(CR46&lt;0.5, "Complete", "In Progress"))</f>
        <v>Pending</v>
      </c>
      <c r="CT46" s="22">
        <v>0</v>
      </c>
      <c r="CU46" s="22">
        <f t="shared" si="121"/>
        <v>0</v>
      </c>
      <c r="CV46" s="23" t="str">
        <f>IF(SUMPRODUCT($K$58:CU$58,$K46:CU46)&lt;0.5, "Pending", IF(CU46&lt;0.5, "Complete", "In Progress"))</f>
        <v>Pending</v>
      </c>
      <c r="CW46" s="22">
        <v>0</v>
      </c>
      <c r="CX46" s="22">
        <f t="shared" si="122"/>
        <v>0</v>
      </c>
      <c r="CY46" s="23" t="str">
        <f>IF(SUMPRODUCT($K$58:CX$58,$K46:CX46)&lt;0.5, "Pending", IF(CX46&lt;0.5, "Complete", "In Progress"))</f>
        <v>Pending</v>
      </c>
      <c r="CZ46" s="22">
        <v>0</v>
      </c>
      <c r="DA46" s="22">
        <f t="shared" si="123"/>
        <v>0</v>
      </c>
      <c r="DB46" s="23" t="str">
        <f>IF(SUMPRODUCT($K$58:DA$58,$K46:DA46)&lt;0.5, "Pending", IF(DA46&lt;0.5, "Complete", "In Progress"))</f>
        <v>Pending</v>
      </c>
      <c r="DC46" s="22">
        <v>0</v>
      </c>
      <c r="DD46" s="22">
        <f t="shared" si="124"/>
        <v>0</v>
      </c>
      <c r="DE46" s="23" t="str">
        <f>IF(SUMPRODUCT($K$58:DD$58,$K46:DD46)&lt;0.5, "Pending", IF(DD46&lt;0.5, "Complete", "In Progress"))</f>
        <v>Pending</v>
      </c>
      <c r="DF46" s="22">
        <v>0</v>
      </c>
      <c r="DG46" s="22">
        <f t="shared" si="125"/>
        <v>0</v>
      </c>
      <c r="DH46" s="23" t="str">
        <f>IF(SUMPRODUCT($K$58:DG$58,$K46:DG46)&lt;0.5, "Pending", IF(DG46&lt;0.5, "Complete", "In Progress"))</f>
        <v>Pending</v>
      </c>
      <c r="DI46" s="22">
        <v>0</v>
      </c>
      <c r="DJ46" s="22">
        <f t="shared" si="126"/>
        <v>0</v>
      </c>
      <c r="DK46" s="23" t="str">
        <f>IF(SUMPRODUCT($K$58:DJ$58,$K46:DJ46)&lt;0.5, "Pending", IF(DJ46&lt;0.5, "Complete", "In Progress"))</f>
        <v>Pending</v>
      </c>
      <c r="DL46" s="22">
        <v>0</v>
      </c>
      <c r="DM46" s="22">
        <f t="shared" si="127"/>
        <v>0</v>
      </c>
      <c r="DN46" s="23" t="str">
        <f>IF(SUMPRODUCT($K$58:DM$58,$K46:DM46)&lt;0.5, "Pending", IF(DM46&lt;0.5, "Complete", "In Progress"))</f>
        <v>Pending</v>
      </c>
      <c r="DO46" s="22">
        <v>0</v>
      </c>
      <c r="DP46" s="22">
        <f t="shared" si="128"/>
        <v>0</v>
      </c>
      <c r="DQ46" s="23" t="str">
        <f>IF(SUMPRODUCT($K$58:DP$58,$K46:DP46)&lt;0.5, "Pending", IF(DP46&lt;0.5, "Complete", "In Progress"))</f>
        <v>Pending</v>
      </c>
      <c r="DR46" s="22">
        <v>0</v>
      </c>
      <c r="DS46" s="22">
        <f t="shared" si="129"/>
        <v>0</v>
      </c>
      <c r="DT46" s="23" t="str">
        <f>IF(SUMPRODUCT($K$58:DS$58,$K46:DS46)&lt;0.5, "Pending", IF(DS46&lt;0.5, "Complete", "In Progress"))</f>
        <v>Pending</v>
      </c>
      <c r="DU46" s="22">
        <v>0</v>
      </c>
      <c r="DV46" s="22">
        <f t="shared" si="130"/>
        <v>0</v>
      </c>
      <c r="DW46" s="23" t="str">
        <f>IF(SUMPRODUCT($K$58:DV$58,$K46:DV46)&lt;0.5, "Pending", IF(DV46&lt;0.5, "Complete", "In Progress"))</f>
        <v>Pending</v>
      </c>
      <c r="DX46" s="22">
        <v>0</v>
      </c>
      <c r="DY46" s="22">
        <f t="shared" si="131"/>
        <v>0</v>
      </c>
      <c r="DZ46" s="23" t="str">
        <f>IF(SUMPRODUCT($K$58:DY$58,$K46:DY46)&lt;0.5, "Pending", IF(DY46&lt;0.5, "Complete", "In Progress"))</f>
        <v>Pending</v>
      </c>
      <c r="EA46" s="24"/>
      <c r="EB46" s="25">
        <f>SUMPRODUCT($I$58:DH$58,$I46:DH46)</f>
        <v>0</v>
      </c>
    </row>
    <row r="47" spans="1:132" ht="12.75" customHeight="1" x14ac:dyDescent="0.25">
      <c r="A47" s="16"/>
      <c r="B47" s="17"/>
      <c r="C47" s="26"/>
      <c r="D47" s="169"/>
      <c r="E47" s="169"/>
      <c r="F47" s="18"/>
      <c r="G47" s="19" t="str">
        <f t="shared" ca="1" si="0"/>
        <v>Pending</v>
      </c>
      <c r="H47" s="21"/>
      <c r="I47" s="21">
        <f t="shared" si="1"/>
        <v>0</v>
      </c>
      <c r="J47" s="195">
        <v>0</v>
      </c>
      <c r="K47" s="22">
        <v>0</v>
      </c>
      <c r="L47" s="22">
        <f t="shared" si="12"/>
        <v>0</v>
      </c>
      <c r="M47" s="23" t="str">
        <f>IF(SUMPRODUCT($K$58:L$58,$K47:L47)&lt;0.5, "Pending", IF(L47&lt;0.5, "Complete", "In Progress"))</f>
        <v>Pending</v>
      </c>
      <c r="N47" s="22">
        <v>0</v>
      </c>
      <c r="O47" s="22">
        <f t="shared" si="13"/>
        <v>0</v>
      </c>
      <c r="P47" s="23" t="str">
        <f>IF(SUMPRODUCT($K$58:O$58,$K47:O47)&lt;0.5, "Pending", IF(O47&lt;0.5, "Complete", "In Progress"))</f>
        <v>Pending</v>
      </c>
      <c r="Q47" s="22">
        <v>0</v>
      </c>
      <c r="R47" s="22">
        <f t="shared" si="14"/>
        <v>0</v>
      </c>
      <c r="S47" s="23" t="str">
        <f>IF(SUMPRODUCT($K$58:R$58,$K47:R47)&lt;0.5, "Pending", IF(R47&lt;0.5, "Complete", "In Progress"))</f>
        <v>Pending</v>
      </c>
      <c r="T47" s="22">
        <v>0</v>
      </c>
      <c r="U47" s="22">
        <f t="shared" si="15"/>
        <v>0</v>
      </c>
      <c r="V47" s="23" t="str">
        <f>IF(SUMPRODUCT($K$58:U$58,$K47:U47)&lt;0.5, "Pending", IF(U47&lt;0.5, "Complete", "In Progress"))</f>
        <v>Pending</v>
      </c>
      <c r="W47" s="22">
        <v>0</v>
      </c>
      <c r="X47" s="22">
        <f t="shared" si="16"/>
        <v>0</v>
      </c>
      <c r="Y47" s="23" t="str">
        <f>IF(SUMPRODUCT($K$58:X$58,$K47:X47)&lt;0.5, "Pending", IF(X47&lt;0.5, "Complete", "In Progress"))</f>
        <v>Pending</v>
      </c>
      <c r="Z47" s="22">
        <v>0</v>
      </c>
      <c r="AA47" s="22">
        <f t="shared" si="17"/>
        <v>0</v>
      </c>
      <c r="AB47" s="23" t="str">
        <f>IF(SUMPRODUCT($K$58:AA$58,$K47:AA47)&lt;0.5, "Pending", IF(AA47&lt;0.5, "Complete", "In Progress"))</f>
        <v>Pending</v>
      </c>
      <c r="AC47" s="22">
        <v>0</v>
      </c>
      <c r="AD47" s="22">
        <f t="shared" si="18"/>
        <v>0</v>
      </c>
      <c r="AE47" s="23" t="str">
        <f>IF(SUMPRODUCT($K$58:AD$58,$K47:AD47)&lt;0.5, "Pending", IF(AD47&lt;0.5, "Complete", "In Progress"))</f>
        <v>Pending</v>
      </c>
      <c r="AF47" s="22">
        <v>0</v>
      </c>
      <c r="AG47" s="22">
        <f t="shared" si="19"/>
        <v>0</v>
      </c>
      <c r="AH47" s="23" t="str">
        <f>IF(SUMPRODUCT($K$58:AG$58,$K47:AG47)&lt;0.5, "Pending", IF(AG47&lt;0.5, "Complete", "In Progress"))</f>
        <v>Pending</v>
      </c>
      <c r="AI47" s="22">
        <v>0</v>
      </c>
      <c r="AJ47" s="22">
        <f t="shared" si="20"/>
        <v>0</v>
      </c>
      <c r="AK47" s="23" t="str">
        <f>IF(SUMPRODUCT($K$58:AJ$58,$K47:AJ47)&lt;0.5, "Pending", IF(AJ47&lt;0.5, "Complete", "In Progress"))</f>
        <v>Pending</v>
      </c>
      <c r="AL47" s="22">
        <v>0</v>
      </c>
      <c r="AM47" s="22">
        <f t="shared" si="21"/>
        <v>0</v>
      </c>
      <c r="AN47" s="23" t="str">
        <f>IF(SUMPRODUCT($K$58:AM$58,$K47:AM47)&lt;0.5, "Pending", IF(AM47&lt;0.5, "Complete", "In Progress"))</f>
        <v>Pending</v>
      </c>
      <c r="AO47" s="22">
        <v>0</v>
      </c>
      <c r="AP47" s="22">
        <f t="shared" si="22"/>
        <v>0</v>
      </c>
      <c r="AQ47" s="23" t="str">
        <f>IF(SUMPRODUCT($K$58:AP$58,$K47:AP47)&lt;0.5, "Pending", IF(AP47&lt;0.5, "Complete", "In Progress"))</f>
        <v>Pending</v>
      </c>
      <c r="AR47" s="22">
        <v>0</v>
      </c>
      <c r="AS47" s="22">
        <f t="shared" si="23"/>
        <v>0</v>
      </c>
      <c r="AT47" s="23" t="str">
        <f>IF(SUMPRODUCT($K$58:AS$58,$K47:AS47)&lt;0.5, "Pending", IF(AS47&lt;0.5, "Complete", "In Progress"))</f>
        <v>Pending</v>
      </c>
      <c r="AU47" s="22">
        <v>0</v>
      </c>
      <c r="AV47" s="22">
        <f t="shared" si="24"/>
        <v>0</v>
      </c>
      <c r="AW47" s="23" t="str">
        <f>IF(SUMPRODUCT($K$58:AV$58,$K47:AV47)&lt;0.5, "Pending", IF(AV47&lt;0.5, "Complete", "In Progress"))</f>
        <v>Pending</v>
      </c>
      <c r="AX47" s="22">
        <v>0</v>
      </c>
      <c r="AY47" s="22">
        <f t="shared" si="25"/>
        <v>0</v>
      </c>
      <c r="AZ47" s="23" t="str">
        <f>IF(SUMPRODUCT($K$58:AY$58,$K47:AY47)&lt;0.5, "Pending", IF(AY47&lt;0.5, "Complete", "In Progress"))</f>
        <v>Pending</v>
      </c>
      <c r="BA47" s="22">
        <v>0</v>
      </c>
      <c r="BB47" s="22">
        <f t="shared" si="26"/>
        <v>0</v>
      </c>
      <c r="BC47" s="23" t="str">
        <f>IF(SUMPRODUCT($K$58:BB$58,$K47:BB47)&lt;0.5, "Pending", IF(BB47&lt;0.5, "Complete", "In Progress"))</f>
        <v>Pending</v>
      </c>
      <c r="BD47" s="22">
        <v>0</v>
      </c>
      <c r="BE47" s="22">
        <f t="shared" si="27"/>
        <v>0</v>
      </c>
      <c r="BF47" s="23" t="str">
        <f>IF(SUMPRODUCT($K$58:BE$58,$K47:BE47)&lt;0.5, "Pending", IF(BE47&lt;0.5, "Complete", "In Progress"))</f>
        <v>Pending</v>
      </c>
      <c r="BG47" s="22">
        <v>0</v>
      </c>
      <c r="BH47" s="22">
        <f t="shared" si="28"/>
        <v>0</v>
      </c>
      <c r="BI47" s="23" t="str">
        <f>IF(SUMPRODUCT($K$58:BH$58,$K47:BH47)&lt;0.5, "Pending", IF(BH47&lt;0.5, "Complete", "In Progress"))</f>
        <v>Pending</v>
      </c>
      <c r="BJ47" s="22">
        <v>0</v>
      </c>
      <c r="BK47" s="22">
        <f t="shared" si="29"/>
        <v>0</v>
      </c>
      <c r="BL47" s="23" t="str">
        <f>IF(SUMPRODUCT($K$58:BK$58,$K47:BK47)&lt;0.5, "Pending", IF(BK47&lt;0.5, "Complete", "In Progress"))</f>
        <v>Pending</v>
      </c>
      <c r="BM47" s="22">
        <v>0</v>
      </c>
      <c r="BN47" s="22">
        <f t="shared" si="30"/>
        <v>0</v>
      </c>
      <c r="BO47" s="23" t="str">
        <f>IF(SUMPRODUCT($K$58:BN$58,$K47:BN47)&lt;0.5, "Pending", IF(BN47&lt;0.5, "Complete", "In Progress"))</f>
        <v>Pending</v>
      </c>
      <c r="BP47" s="22">
        <v>0</v>
      </c>
      <c r="BQ47" s="22">
        <f t="shared" si="31"/>
        <v>0</v>
      </c>
      <c r="BR47" s="23" t="str">
        <f>IF(SUMPRODUCT($K$58:BQ$58,$K47:BQ47)&lt;0.5, "Pending", IF(BQ47&lt;0.5, "Complete", "In Progress"))</f>
        <v>Pending</v>
      </c>
      <c r="BS47" s="22">
        <v>0</v>
      </c>
      <c r="BT47" s="22">
        <f t="shared" si="32"/>
        <v>0</v>
      </c>
      <c r="BU47" s="23" t="str">
        <f>IF(SUMPRODUCT($K$58:BT$58,$K47:BT47)&lt;0.5, "Pending", IF(BT47&lt;0.5, "Complete", "In Progress"))</f>
        <v>Pending</v>
      </c>
      <c r="BV47" s="22">
        <v>0</v>
      </c>
      <c r="BW47" s="22">
        <f t="shared" si="33"/>
        <v>0</v>
      </c>
      <c r="BX47" s="23" t="str">
        <f>IF(SUMPRODUCT($K$58:BW$58,$K47:BW47)&lt;0.5, "Pending", IF(BW47&lt;0.5, "Complete", "In Progress"))</f>
        <v>Pending</v>
      </c>
      <c r="BY47" s="22">
        <v>0</v>
      </c>
      <c r="BZ47" s="22">
        <f t="shared" si="34"/>
        <v>0</v>
      </c>
      <c r="CA47" s="23" t="str">
        <f>IF(SUMPRODUCT($K$58:BZ$58,$K47:BZ47)&lt;0.5, "Pending", IF(BZ47&lt;0.5, "Complete", "In Progress"))</f>
        <v>Pending</v>
      </c>
      <c r="CB47" s="22">
        <v>0</v>
      </c>
      <c r="CC47" s="22">
        <f t="shared" si="35"/>
        <v>0</v>
      </c>
      <c r="CD47" s="23" t="str">
        <f>IF(SUMPRODUCT($K$58:CC$58,$K47:CC47)&lt;0.5, "Pending", IF(CC47&lt;0.5, "Complete", "In Progress"))</f>
        <v>Pending</v>
      </c>
      <c r="CE47" s="22">
        <v>0</v>
      </c>
      <c r="CF47" s="22">
        <f t="shared" si="36"/>
        <v>0</v>
      </c>
      <c r="CG47" s="23" t="str">
        <f>IF(SUMPRODUCT($K$58:CF$58,$K47:CF47)&lt;0.5, "Pending", IF(CF47&lt;0.5, "Complete", "In Progress"))</f>
        <v>Pending</v>
      </c>
      <c r="CH47" s="22">
        <v>0</v>
      </c>
      <c r="CI47" s="22">
        <f t="shared" si="37"/>
        <v>0</v>
      </c>
      <c r="CJ47" s="23" t="str">
        <f>IF(SUMPRODUCT($K$58:CI$58,$K47:CI47)&lt;0.5, "Pending", IF(CI47&lt;0.5, "Complete", "In Progress"))</f>
        <v>Pending</v>
      </c>
      <c r="CK47" s="22">
        <v>0</v>
      </c>
      <c r="CL47" s="22">
        <f t="shared" si="38"/>
        <v>0</v>
      </c>
      <c r="CM47" s="23" t="str">
        <f>IF(SUMPRODUCT($K$58:CL$58,$K47:CL47)&lt;0.5, "Pending", IF(CL47&lt;0.5, "Complete", "In Progress"))</f>
        <v>Pending</v>
      </c>
      <c r="CN47" s="22">
        <v>0</v>
      </c>
      <c r="CO47" s="22">
        <f t="shared" si="39"/>
        <v>0</v>
      </c>
      <c r="CP47" s="23" t="str">
        <f>IF(SUMPRODUCT($K$58:CO$58,$K47:CO47)&lt;0.5, "Pending", IF(CO47&lt;0.5, "Complete", "In Progress"))</f>
        <v>Pending</v>
      </c>
      <c r="CQ47" s="22">
        <v>0</v>
      </c>
      <c r="CR47" s="22">
        <f t="shared" si="40"/>
        <v>0</v>
      </c>
      <c r="CS47" s="23" t="str">
        <f>IF(SUMPRODUCT($K$58:CR$58,$K47:CR47)&lt;0.5, "Pending", IF(CR47&lt;0.5, "Complete", "In Progress"))</f>
        <v>Pending</v>
      </c>
      <c r="CT47" s="22">
        <v>0</v>
      </c>
      <c r="CU47" s="22">
        <f t="shared" si="41"/>
        <v>0</v>
      </c>
      <c r="CV47" s="23" t="str">
        <f>IF(SUMPRODUCT($K$58:CU$58,$K47:CU47)&lt;0.5, "Pending", IF(CU47&lt;0.5, "Complete", "In Progress"))</f>
        <v>Pending</v>
      </c>
      <c r="CW47" s="22">
        <v>0</v>
      </c>
      <c r="CX47" s="22">
        <f t="shared" si="42"/>
        <v>0</v>
      </c>
      <c r="CY47" s="23" t="str">
        <f>IF(SUMPRODUCT($K$58:CX$58,$K47:CX47)&lt;0.5, "Pending", IF(CX47&lt;0.5, "Complete", "In Progress"))</f>
        <v>Pending</v>
      </c>
      <c r="CZ47" s="22">
        <v>0</v>
      </c>
      <c r="DA47" s="22">
        <f t="shared" si="43"/>
        <v>0</v>
      </c>
      <c r="DB47" s="23" t="str">
        <f>IF(SUMPRODUCT($K$58:DA$58,$K47:DA47)&lt;0.5, "Pending", IF(DA47&lt;0.5, "Complete", "In Progress"))</f>
        <v>Pending</v>
      </c>
      <c r="DC47" s="22">
        <v>0</v>
      </c>
      <c r="DD47" s="22">
        <f t="shared" si="44"/>
        <v>0</v>
      </c>
      <c r="DE47" s="23" t="str">
        <f>IF(SUMPRODUCT($K$58:DD$58,$K47:DD47)&lt;0.5, "Pending", IF(DD47&lt;0.5, "Complete", "In Progress"))</f>
        <v>Pending</v>
      </c>
      <c r="DF47" s="22">
        <v>0</v>
      </c>
      <c r="DG47" s="22">
        <f t="shared" si="45"/>
        <v>0</v>
      </c>
      <c r="DH47" s="23" t="str">
        <f>IF(SUMPRODUCT($K$58:DG$58,$K47:DG47)&lt;0.5, "Pending", IF(DG47&lt;0.5, "Complete", "In Progress"))</f>
        <v>Pending</v>
      </c>
      <c r="DI47" s="22">
        <v>0</v>
      </c>
      <c r="DJ47" s="22">
        <f t="shared" si="46"/>
        <v>0</v>
      </c>
      <c r="DK47" s="23" t="str">
        <f>IF(SUMPRODUCT($K$58:DJ$58,$K47:DJ47)&lt;0.5, "Pending", IF(DJ47&lt;0.5, "Complete", "In Progress"))</f>
        <v>Pending</v>
      </c>
      <c r="DL47" s="22">
        <v>0</v>
      </c>
      <c r="DM47" s="22">
        <f t="shared" si="47"/>
        <v>0</v>
      </c>
      <c r="DN47" s="23" t="str">
        <f>IF(SUMPRODUCT($K$58:DM$58,$K47:DM47)&lt;0.5, "Pending", IF(DM47&lt;0.5, "Complete", "In Progress"))</f>
        <v>Pending</v>
      </c>
      <c r="DO47" s="22">
        <v>0</v>
      </c>
      <c r="DP47" s="22">
        <f t="shared" si="48"/>
        <v>0</v>
      </c>
      <c r="DQ47" s="23" t="str">
        <f>IF(SUMPRODUCT($K$58:DP$58,$K47:DP47)&lt;0.5, "Pending", IF(DP47&lt;0.5, "Complete", "In Progress"))</f>
        <v>Pending</v>
      </c>
      <c r="DR47" s="22">
        <v>0</v>
      </c>
      <c r="DS47" s="22">
        <f t="shared" si="49"/>
        <v>0</v>
      </c>
      <c r="DT47" s="23" t="str">
        <f>IF(SUMPRODUCT($K$58:DS$58,$K47:DS47)&lt;0.5, "Pending", IF(DS47&lt;0.5, "Complete", "In Progress"))</f>
        <v>Pending</v>
      </c>
      <c r="DU47" s="22">
        <v>0</v>
      </c>
      <c r="DV47" s="22">
        <f t="shared" si="50"/>
        <v>0</v>
      </c>
      <c r="DW47" s="23" t="str">
        <f>IF(SUMPRODUCT($K$58:DV$58,$K47:DV47)&lt;0.5, "Pending", IF(DV47&lt;0.5, "Complete", "In Progress"))</f>
        <v>Pending</v>
      </c>
      <c r="DX47" s="22">
        <v>0</v>
      </c>
      <c r="DY47" s="22">
        <f t="shared" si="51"/>
        <v>0</v>
      </c>
      <c r="DZ47" s="23" t="str">
        <f>IF(SUMPRODUCT($K$58:DY$58,$K47:DY47)&lt;0.5, "Pending", IF(DY47&lt;0.5, "Complete", "In Progress"))</f>
        <v>Pending</v>
      </c>
      <c r="EA47" s="24"/>
      <c r="EB47" s="25">
        <f>SUMPRODUCT($I$58:DH$58,$I47:DH47)</f>
        <v>0</v>
      </c>
    </row>
    <row r="48" spans="1:132" ht="12.75" customHeight="1" x14ac:dyDescent="0.25">
      <c r="A48" s="16"/>
      <c r="B48" s="17"/>
      <c r="C48" s="26"/>
      <c r="D48" s="169"/>
      <c r="E48" s="169"/>
      <c r="F48" s="18"/>
      <c r="G48" s="19" t="str">
        <f t="shared" ca="1" si="0"/>
        <v>Pending</v>
      </c>
      <c r="H48" s="21"/>
      <c r="I48" s="21">
        <f t="shared" si="1"/>
        <v>0</v>
      </c>
      <c r="J48" s="195">
        <v>0</v>
      </c>
      <c r="K48" s="22">
        <v>0</v>
      </c>
      <c r="L48" s="22">
        <f t="shared" si="12"/>
        <v>0</v>
      </c>
      <c r="M48" s="23" t="str">
        <f>IF(SUMPRODUCT($K$58:L$58,$K48:L48)&lt;0.5, "Pending", IF(L48&lt;0.5, "Complete", "In Progress"))</f>
        <v>Pending</v>
      </c>
      <c r="N48" s="22">
        <v>0</v>
      </c>
      <c r="O48" s="22">
        <f t="shared" si="13"/>
        <v>0</v>
      </c>
      <c r="P48" s="23" t="str">
        <f>IF(SUMPRODUCT($K$58:O$58,$K48:O48)&lt;0.5, "Pending", IF(O48&lt;0.5, "Complete", "In Progress"))</f>
        <v>Pending</v>
      </c>
      <c r="Q48" s="22">
        <v>0</v>
      </c>
      <c r="R48" s="22">
        <f t="shared" si="14"/>
        <v>0</v>
      </c>
      <c r="S48" s="23" t="str">
        <f>IF(SUMPRODUCT($K$58:R$58,$K48:R48)&lt;0.5, "Pending", IF(R48&lt;0.5, "Complete", "In Progress"))</f>
        <v>Pending</v>
      </c>
      <c r="T48" s="22">
        <v>0</v>
      </c>
      <c r="U48" s="22">
        <f t="shared" si="15"/>
        <v>0</v>
      </c>
      <c r="V48" s="23" t="str">
        <f>IF(SUMPRODUCT($K$58:U$58,$K48:U48)&lt;0.5, "Pending", IF(U48&lt;0.5, "Complete", "In Progress"))</f>
        <v>Pending</v>
      </c>
      <c r="W48" s="22">
        <v>0</v>
      </c>
      <c r="X48" s="22">
        <f t="shared" si="16"/>
        <v>0</v>
      </c>
      <c r="Y48" s="23" t="str">
        <f>IF(SUMPRODUCT($K$58:X$58,$K48:X48)&lt;0.5, "Pending", IF(X48&lt;0.5, "Complete", "In Progress"))</f>
        <v>Pending</v>
      </c>
      <c r="Z48" s="22">
        <v>0</v>
      </c>
      <c r="AA48" s="22">
        <f t="shared" si="17"/>
        <v>0</v>
      </c>
      <c r="AB48" s="23" t="str">
        <f>IF(SUMPRODUCT($K$58:AA$58,$K48:AA48)&lt;0.5, "Pending", IF(AA48&lt;0.5, "Complete", "In Progress"))</f>
        <v>Pending</v>
      </c>
      <c r="AC48" s="22">
        <v>0</v>
      </c>
      <c r="AD48" s="22">
        <f t="shared" si="18"/>
        <v>0</v>
      </c>
      <c r="AE48" s="23" t="str">
        <f>IF(SUMPRODUCT($K$58:AD$58,$K48:AD48)&lt;0.5, "Pending", IF(AD48&lt;0.5, "Complete", "In Progress"))</f>
        <v>Pending</v>
      </c>
      <c r="AF48" s="22">
        <v>0</v>
      </c>
      <c r="AG48" s="22">
        <f t="shared" si="19"/>
        <v>0</v>
      </c>
      <c r="AH48" s="23" t="str">
        <f>IF(SUMPRODUCT($K$58:AG$58,$K48:AG48)&lt;0.5, "Pending", IF(AG48&lt;0.5, "Complete", "In Progress"))</f>
        <v>Pending</v>
      </c>
      <c r="AI48" s="22">
        <v>0</v>
      </c>
      <c r="AJ48" s="22">
        <f t="shared" si="20"/>
        <v>0</v>
      </c>
      <c r="AK48" s="23" t="str">
        <f>IF(SUMPRODUCT($K$58:AJ$58,$K48:AJ48)&lt;0.5, "Pending", IF(AJ48&lt;0.5, "Complete", "In Progress"))</f>
        <v>Pending</v>
      </c>
      <c r="AL48" s="22">
        <v>0</v>
      </c>
      <c r="AM48" s="22">
        <f t="shared" si="21"/>
        <v>0</v>
      </c>
      <c r="AN48" s="23" t="str">
        <f>IF(SUMPRODUCT($K$58:AM$58,$K48:AM48)&lt;0.5, "Pending", IF(AM48&lt;0.5, "Complete", "In Progress"))</f>
        <v>Pending</v>
      </c>
      <c r="AO48" s="22">
        <v>0</v>
      </c>
      <c r="AP48" s="22">
        <f t="shared" si="22"/>
        <v>0</v>
      </c>
      <c r="AQ48" s="23" t="str">
        <f>IF(SUMPRODUCT($K$58:AP$58,$K48:AP48)&lt;0.5, "Pending", IF(AP48&lt;0.5, "Complete", "In Progress"))</f>
        <v>Pending</v>
      </c>
      <c r="AR48" s="22">
        <v>0</v>
      </c>
      <c r="AS48" s="22">
        <f t="shared" si="23"/>
        <v>0</v>
      </c>
      <c r="AT48" s="23" t="str">
        <f>IF(SUMPRODUCT($K$58:AS$58,$K48:AS48)&lt;0.5, "Pending", IF(AS48&lt;0.5, "Complete", "In Progress"))</f>
        <v>Pending</v>
      </c>
      <c r="AU48" s="22">
        <v>0</v>
      </c>
      <c r="AV48" s="22">
        <f t="shared" si="24"/>
        <v>0</v>
      </c>
      <c r="AW48" s="23" t="str">
        <f>IF(SUMPRODUCT($K$58:AV$58,$K48:AV48)&lt;0.5, "Pending", IF(AV48&lt;0.5, "Complete", "In Progress"))</f>
        <v>Pending</v>
      </c>
      <c r="AX48" s="22">
        <v>0</v>
      </c>
      <c r="AY48" s="22">
        <f t="shared" si="25"/>
        <v>0</v>
      </c>
      <c r="AZ48" s="23" t="str">
        <f>IF(SUMPRODUCT($K$58:AY$58,$K48:AY48)&lt;0.5, "Pending", IF(AY48&lt;0.5, "Complete", "In Progress"))</f>
        <v>Pending</v>
      </c>
      <c r="BA48" s="22">
        <v>0</v>
      </c>
      <c r="BB48" s="22">
        <f t="shared" si="26"/>
        <v>0</v>
      </c>
      <c r="BC48" s="23" t="str">
        <f>IF(SUMPRODUCT($K$58:BB$58,$K48:BB48)&lt;0.5, "Pending", IF(BB48&lt;0.5, "Complete", "In Progress"))</f>
        <v>Pending</v>
      </c>
      <c r="BD48" s="22">
        <v>0</v>
      </c>
      <c r="BE48" s="22">
        <f t="shared" si="27"/>
        <v>0</v>
      </c>
      <c r="BF48" s="23" t="str">
        <f>IF(SUMPRODUCT($K$58:BE$58,$K48:BE48)&lt;0.5, "Pending", IF(BE48&lt;0.5, "Complete", "In Progress"))</f>
        <v>Pending</v>
      </c>
      <c r="BG48" s="22">
        <v>0</v>
      </c>
      <c r="BH48" s="22">
        <f t="shared" si="28"/>
        <v>0</v>
      </c>
      <c r="BI48" s="23" t="str">
        <f>IF(SUMPRODUCT($K$58:BH$58,$K48:BH48)&lt;0.5, "Pending", IF(BH48&lt;0.5, "Complete", "In Progress"))</f>
        <v>Pending</v>
      </c>
      <c r="BJ48" s="22">
        <v>0</v>
      </c>
      <c r="BK48" s="22">
        <f t="shared" si="29"/>
        <v>0</v>
      </c>
      <c r="BL48" s="23" t="str">
        <f>IF(SUMPRODUCT($K$58:BK$58,$K48:BK48)&lt;0.5, "Pending", IF(BK48&lt;0.5, "Complete", "In Progress"))</f>
        <v>Pending</v>
      </c>
      <c r="BM48" s="22">
        <v>0</v>
      </c>
      <c r="BN48" s="22">
        <f t="shared" si="30"/>
        <v>0</v>
      </c>
      <c r="BO48" s="23" t="str">
        <f>IF(SUMPRODUCT($K$58:BN$58,$K48:BN48)&lt;0.5, "Pending", IF(BN48&lt;0.5, "Complete", "In Progress"))</f>
        <v>Pending</v>
      </c>
      <c r="BP48" s="22">
        <v>0</v>
      </c>
      <c r="BQ48" s="22">
        <f t="shared" si="31"/>
        <v>0</v>
      </c>
      <c r="BR48" s="23" t="str">
        <f>IF(SUMPRODUCT($K$58:BQ$58,$K48:BQ48)&lt;0.5, "Pending", IF(BQ48&lt;0.5, "Complete", "In Progress"))</f>
        <v>Pending</v>
      </c>
      <c r="BS48" s="22">
        <v>0</v>
      </c>
      <c r="BT48" s="22">
        <f t="shared" si="32"/>
        <v>0</v>
      </c>
      <c r="BU48" s="23" t="str">
        <f>IF(SUMPRODUCT($K$58:BT$58,$K48:BT48)&lt;0.5, "Pending", IF(BT48&lt;0.5, "Complete", "In Progress"))</f>
        <v>Pending</v>
      </c>
      <c r="BV48" s="22">
        <v>0</v>
      </c>
      <c r="BW48" s="22">
        <f t="shared" si="33"/>
        <v>0</v>
      </c>
      <c r="BX48" s="23" t="str">
        <f>IF(SUMPRODUCT($K$58:BW$58,$K48:BW48)&lt;0.5, "Pending", IF(BW48&lt;0.5, "Complete", "In Progress"))</f>
        <v>Pending</v>
      </c>
      <c r="BY48" s="22">
        <v>0</v>
      </c>
      <c r="BZ48" s="22">
        <f t="shared" si="34"/>
        <v>0</v>
      </c>
      <c r="CA48" s="23" t="str">
        <f>IF(SUMPRODUCT($K$58:BZ$58,$K48:BZ48)&lt;0.5, "Pending", IF(BZ48&lt;0.5, "Complete", "In Progress"))</f>
        <v>Pending</v>
      </c>
      <c r="CB48" s="22">
        <v>0</v>
      </c>
      <c r="CC48" s="22">
        <f t="shared" si="35"/>
        <v>0</v>
      </c>
      <c r="CD48" s="23" t="str">
        <f>IF(SUMPRODUCT($K$58:CC$58,$K48:CC48)&lt;0.5, "Pending", IF(CC48&lt;0.5, "Complete", "In Progress"))</f>
        <v>Pending</v>
      </c>
      <c r="CE48" s="22">
        <v>0</v>
      </c>
      <c r="CF48" s="22">
        <f t="shared" si="36"/>
        <v>0</v>
      </c>
      <c r="CG48" s="23" t="str">
        <f>IF(SUMPRODUCT($K$58:CF$58,$K48:CF48)&lt;0.5, "Pending", IF(CF48&lt;0.5, "Complete", "In Progress"))</f>
        <v>Pending</v>
      </c>
      <c r="CH48" s="22">
        <v>0</v>
      </c>
      <c r="CI48" s="22">
        <f t="shared" si="37"/>
        <v>0</v>
      </c>
      <c r="CJ48" s="23" t="str">
        <f>IF(SUMPRODUCT($K$58:CI$58,$K48:CI48)&lt;0.5, "Pending", IF(CI48&lt;0.5, "Complete", "In Progress"))</f>
        <v>Pending</v>
      </c>
      <c r="CK48" s="22">
        <v>0</v>
      </c>
      <c r="CL48" s="22">
        <f t="shared" si="38"/>
        <v>0</v>
      </c>
      <c r="CM48" s="23" t="str">
        <f>IF(SUMPRODUCT($K$58:CL$58,$K48:CL48)&lt;0.5, "Pending", IF(CL48&lt;0.5, "Complete", "In Progress"))</f>
        <v>Pending</v>
      </c>
      <c r="CN48" s="22">
        <v>0</v>
      </c>
      <c r="CO48" s="22">
        <f t="shared" si="39"/>
        <v>0</v>
      </c>
      <c r="CP48" s="23" t="str">
        <f>IF(SUMPRODUCT($K$58:CO$58,$K48:CO48)&lt;0.5, "Pending", IF(CO48&lt;0.5, "Complete", "In Progress"))</f>
        <v>Pending</v>
      </c>
      <c r="CQ48" s="22">
        <v>0</v>
      </c>
      <c r="CR48" s="22">
        <f t="shared" si="40"/>
        <v>0</v>
      </c>
      <c r="CS48" s="23" t="str">
        <f>IF(SUMPRODUCT($K$58:CR$58,$K48:CR48)&lt;0.5, "Pending", IF(CR48&lt;0.5, "Complete", "In Progress"))</f>
        <v>Pending</v>
      </c>
      <c r="CT48" s="22">
        <v>0</v>
      </c>
      <c r="CU48" s="22">
        <f t="shared" si="41"/>
        <v>0</v>
      </c>
      <c r="CV48" s="23" t="str">
        <f>IF(SUMPRODUCT($K$58:CU$58,$K48:CU48)&lt;0.5, "Pending", IF(CU48&lt;0.5, "Complete", "In Progress"))</f>
        <v>Pending</v>
      </c>
      <c r="CW48" s="22">
        <v>0</v>
      </c>
      <c r="CX48" s="22">
        <f t="shared" si="42"/>
        <v>0</v>
      </c>
      <c r="CY48" s="23" t="str">
        <f>IF(SUMPRODUCT($K$58:CX$58,$K48:CX48)&lt;0.5, "Pending", IF(CX48&lt;0.5, "Complete", "In Progress"))</f>
        <v>Pending</v>
      </c>
      <c r="CZ48" s="22">
        <v>0</v>
      </c>
      <c r="DA48" s="22">
        <f t="shared" si="43"/>
        <v>0</v>
      </c>
      <c r="DB48" s="23" t="str">
        <f>IF(SUMPRODUCT($K$58:DA$58,$K48:DA48)&lt;0.5, "Pending", IF(DA48&lt;0.5, "Complete", "In Progress"))</f>
        <v>Pending</v>
      </c>
      <c r="DC48" s="22">
        <v>0</v>
      </c>
      <c r="DD48" s="22">
        <f t="shared" si="44"/>
        <v>0</v>
      </c>
      <c r="DE48" s="23" t="str">
        <f>IF(SUMPRODUCT($K$58:DD$58,$K48:DD48)&lt;0.5, "Pending", IF(DD48&lt;0.5, "Complete", "In Progress"))</f>
        <v>Pending</v>
      </c>
      <c r="DF48" s="22">
        <v>0</v>
      </c>
      <c r="DG48" s="22">
        <f t="shared" si="45"/>
        <v>0</v>
      </c>
      <c r="DH48" s="23" t="str">
        <f>IF(SUMPRODUCT($K$58:DG$58,$K48:DG48)&lt;0.5, "Pending", IF(DG48&lt;0.5, "Complete", "In Progress"))</f>
        <v>Pending</v>
      </c>
      <c r="DI48" s="22">
        <v>0</v>
      </c>
      <c r="DJ48" s="22">
        <f t="shared" si="46"/>
        <v>0</v>
      </c>
      <c r="DK48" s="23" t="str">
        <f>IF(SUMPRODUCT($K$58:DJ$58,$K48:DJ48)&lt;0.5, "Pending", IF(DJ48&lt;0.5, "Complete", "In Progress"))</f>
        <v>Pending</v>
      </c>
      <c r="DL48" s="22">
        <v>0</v>
      </c>
      <c r="DM48" s="22">
        <f t="shared" si="47"/>
        <v>0</v>
      </c>
      <c r="DN48" s="23" t="str">
        <f>IF(SUMPRODUCT($K$58:DM$58,$K48:DM48)&lt;0.5, "Pending", IF(DM48&lt;0.5, "Complete", "In Progress"))</f>
        <v>Pending</v>
      </c>
      <c r="DO48" s="22">
        <v>0</v>
      </c>
      <c r="DP48" s="22">
        <f t="shared" si="48"/>
        <v>0</v>
      </c>
      <c r="DQ48" s="23" t="str">
        <f>IF(SUMPRODUCT($K$58:DP$58,$K48:DP48)&lt;0.5, "Pending", IF(DP48&lt;0.5, "Complete", "In Progress"))</f>
        <v>Pending</v>
      </c>
      <c r="DR48" s="22">
        <v>0</v>
      </c>
      <c r="DS48" s="22">
        <f t="shared" si="49"/>
        <v>0</v>
      </c>
      <c r="DT48" s="23" t="str">
        <f>IF(SUMPRODUCT($K$58:DS$58,$K48:DS48)&lt;0.5, "Pending", IF(DS48&lt;0.5, "Complete", "In Progress"))</f>
        <v>Pending</v>
      </c>
      <c r="DU48" s="22">
        <v>0</v>
      </c>
      <c r="DV48" s="22">
        <f t="shared" si="50"/>
        <v>0</v>
      </c>
      <c r="DW48" s="23" t="str">
        <f>IF(SUMPRODUCT($K$58:DV$58,$K48:DV48)&lt;0.5, "Pending", IF(DV48&lt;0.5, "Complete", "In Progress"))</f>
        <v>Pending</v>
      </c>
      <c r="DX48" s="22">
        <v>0</v>
      </c>
      <c r="DY48" s="22">
        <f t="shared" si="51"/>
        <v>0</v>
      </c>
      <c r="DZ48" s="23" t="str">
        <f>IF(SUMPRODUCT($K$58:DY$58,$K48:DY48)&lt;0.5, "Pending", IF(DY48&lt;0.5, "Complete", "In Progress"))</f>
        <v>Pending</v>
      </c>
      <c r="EA48" s="24"/>
      <c r="EB48" s="25">
        <f>SUMPRODUCT($I$58:DH$58,$I48:DH48)</f>
        <v>0</v>
      </c>
    </row>
    <row r="49" spans="1:132" ht="12.75" customHeight="1" x14ac:dyDescent="0.25">
      <c r="A49" s="172"/>
      <c r="B49" s="17"/>
      <c r="C49" s="26"/>
      <c r="D49" s="169"/>
      <c r="E49" s="169"/>
      <c r="F49" s="18"/>
      <c r="G49" s="19" t="str">
        <f t="shared" ca="1" si="0"/>
        <v>Pending</v>
      </c>
      <c r="H49" s="21"/>
      <c r="I49" s="21">
        <f t="shared" si="1"/>
        <v>0</v>
      </c>
      <c r="J49" s="195">
        <v>0</v>
      </c>
      <c r="K49" s="22">
        <v>0</v>
      </c>
      <c r="L49" s="22">
        <f t="shared" ref="L49:L55" si="132">MAX(J49-K49, 0)</f>
        <v>0</v>
      </c>
      <c r="M49" s="23" t="str">
        <f>IF(SUMPRODUCT($K$58:L$58,$K49:L49)&lt;0.5, "Pending", IF(L49&lt;0.5, "Complete", "In Progress"))</f>
        <v>Pending</v>
      </c>
      <c r="N49" s="22">
        <v>0</v>
      </c>
      <c r="O49" s="22">
        <f t="shared" ref="O49:O55" si="133">MAX(L49-N49,0)</f>
        <v>0</v>
      </c>
      <c r="P49" s="23" t="str">
        <f>IF(SUMPRODUCT($K$58:O$58,$K49:O49)&lt;0.5, "Pending", IF(O49&lt;0.5, "Complete", "In Progress"))</f>
        <v>Pending</v>
      </c>
      <c r="Q49" s="22">
        <v>0</v>
      </c>
      <c r="R49" s="22">
        <f t="shared" ref="R49:R55" si="134">MAX(O49-Q49,0)</f>
        <v>0</v>
      </c>
      <c r="S49" s="23" t="str">
        <f>IF(SUMPRODUCT($K$58:R$58,$K49:R49)&lt;0.5, "Pending", IF(R49&lt;0.5, "Complete", "In Progress"))</f>
        <v>Pending</v>
      </c>
      <c r="T49" s="22">
        <v>0</v>
      </c>
      <c r="U49" s="22">
        <f t="shared" ref="U49:U55" si="135">MAX(R49-T49,0)</f>
        <v>0</v>
      </c>
      <c r="V49" s="23" t="str">
        <f>IF(SUMPRODUCT($K$58:U$58,$K49:U49)&lt;0.5, "Pending", IF(U49&lt;0.5, "Complete", "In Progress"))</f>
        <v>Pending</v>
      </c>
      <c r="W49" s="22">
        <v>0</v>
      </c>
      <c r="X49" s="22">
        <f t="shared" ref="X49:X55" si="136">MAX(U49-W49,0)</f>
        <v>0</v>
      </c>
      <c r="Y49" s="23" t="str">
        <f>IF(SUMPRODUCT($K$58:X$58,$K49:X49)&lt;0.5, "Pending", IF(X49&lt;0.5, "Complete", "In Progress"))</f>
        <v>Pending</v>
      </c>
      <c r="Z49" s="22">
        <v>0</v>
      </c>
      <c r="AA49" s="22">
        <f t="shared" ref="AA49:AA55" si="137">MAX(X49-Z49,0)</f>
        <v>0</v>
      </c>
      <c r="AB49" s="23" t="str">
        <f>IF(SUMPRODUCT($K$58:AA$58,$K49:AA49)&lt;0.5, "Pending", IF(AA49&lt;0.5, "Complete", "In Progress"))</f>
        <v>Pending</v>
      </c>
      <c r="AC49" s="22">
        <v>0</v>
      </c>
      <c r="AD49" s="22">
        <f t="shared" ref="AD49:AD55" si="138">MAX(AA49-AC49,0)</f>
        <v>0</v>
      </c>
      <c r="AE49" s="23" t="str">
        <f>IF(SUMPRODUCT($K$58:AD$58,$K49:AD49)&lt;0.5, "Pending", IF(AD49&lt;0.5, "Complete", "In Progress"))</f>
        <v>Pending</v>
      </c>
      <c r="AF49" s="22">
        <v>0</v>
      </c>
      <c r="AG49" s="22">
        <f t="shared" ref="AG49:AG55" si="139">MAX(AD49-AF49,0)</f>
        <v>0</v>
      </c>
      <c r="AH49" s="23" t="str">
        <f>IF(SUMPRODUCT($K$58:AG$58,$K49:AG49)&lt;0.5, "Pending", IF(AG49&lt;0.5, "Complete", "In Progress"))</f>
        <v>Pending</v>
      </c>
      <c r="AI49" s="22">
        <v>0</v>
      </c>
      <c r="AJ49" s="22">
        <f t="shared" ref="AJ49:AJ55" si="140">MAX(AG49-AI49,0)</f>
        <v>0</v>
      </c>
      <c r="AK49" s="23" t="str">
        <f>IF(SUMPRODUCT($K$58:AJ$58,$K49:AJ49)&lt;0.5, "Pending", IF(AJ49&lt;0.5, "Complete", "In Progress"))</f>
        <v>Pending</v>
      </c>
      <c r="AL49" s="22">
        <v>0</v>
      </c>
      <c r="AM49" s="22">
        <f t="shared" ref="AM49:AM55" si="141">MAX(AJ49-AL49,0)</f>
        <v>0</v>
      </c>
      <c r="AN49" s="23" t="str">
        <f>IF(SUMPRODUCT($K$58:AM$58,$K49:AM49)&lt;0.5, "Pending", IF(AM49&lt;0.5, "Complete", "In Progress"))</f>
        <v>Pending</v>
      </c>
      <c r="AO49" s="22">
        <v>0</v>
      </c>
      <c r="AP49" s="22">
        <f t="shared" ref="AP49:AP55" si="142">MAX(AM49-AO49,0)</f>
        <v>0</v>
      </c>
      <c r="AQ49" s="23" t="str">
        <f>IF(SUMPRODUCT($K$58:AP$58,$K49:AP49)&lt;0.5, "Pending", IF(AP49&lt;0.5, "Complete", "In Progress"))</f>
        <v>Pending</v>
      </c>
      <c r="AR49" s="22">
        <v>0</v>
      </c>
      <c r="AS49" s="22">
        <f t="shared" ref="AS49:AS55" si="143">MAX(AP49-AR49,0)</f>
        <v>0</v>
      </c>
      <c r="AT49" s="23" t="str">
        <f>IF(SUMPRODUCT($K$58:AS$58,$K49:AS49)&lt;0.5, "Pending", IF(AS49&lt;0.5, "Complete", "In Progress"))</f>
        <v>Pending</v>
      </c>
      <c r="AU49" s="22">
        <v>0</v>
      </c>
      <c r="AV49" s="22">
        <f t="shared" ref="AV49:AV55" si="144">MAX(AS49-AU49,0)</f>
        <v>0</v>
      </c>
      <c r="AW49" s="23" t="str">
        <f>IF(SUMPRODUCT($K$58:AV$58,$K49:AV49)&lt;0.5, "Pending", IF(AV49&lt;0.5, "Complete", "In Progress"))</f>
        <v>Pending</v>
      </c>
      <c r="AX49" s="22">
        <v>0</v>
      </c>
      <c r="AY49" s="22">
        <f t="shared" ref="AY49:AY55" si="145">MAX(AV49-AX49,0)</f>
        <v>0</v>
      </c>
      <c r="AZ49" s="23" t="str">
        <f>IF(SUMPRODUCT($K$58:AY$58,$K49:AY49)&lt;0.5, "Pending", IF(AY49&lt;0.5, "Complete", "In Progress"))</f>
        <v>Pending</v>
      </c>
      <c r="BA49" s="22">
        <v>0</v>
      </c>
      <c r="BB49" s="22">
        <f t="shared" ref="BB49:BB55" si="146">MAX(AY49-BA49,0)</f>
        <v>0</v>
      </c>
      <c r="BC49" s="23" t="str">
        <f>IF(SUMPRODUCT($K$58:BB$58,$K49:BB49)&lt;0.5, "Pending", IF(BB49&lt;0.5, "Complete", "In Progress"))</f>
        <v>Pending</v>
      </c>
      <c r="BD49" s="22">
        <v>0</v>
      </c>
      <c r="BE49" s="22">
        <f t="shared" ref="BE49:BE55" si="147">MAX(BB49-BD49,0)</f>
        <v>0</v>
      </c>
      <c r="BF49" s="23" t="str">
        <f>IF(SUMPRODUCT($K$58:BE$58,$K49:BE49)&lt;0.5, "Pending", IF(BE49&lt;0.5, "Complete", "In Progress"))</f>
        <v>Pending</v>
      </c>
      <c r="BG49" s="22">
        <v>0</v>
      </c>
      <c r="BH49" s="22">
        <f t="shared" ref="BH49:BH55" si="148">MAX(BE49-BG49,0)</f>
        <v>0</v>
      </c>
      <c r="BI49" s="23" t="str">
        <f>IF(SUMPRODUCT($K$58:BH$58,$K49:BH49)&lt;0.5, "Pending", IF(BH49&lt;0.5, "Complete", "In Progress"))</f>
        <v>Pending</v>
      </c>
      <c r="BJ49" s="22">
        <v>0</v>
      </c>
      <c r="BK49" s="22">
        <f t="shared" ref="BK49:BK55" si="149">MAX(BH49-BJ49,0)</f>
        <v>0</v>
      </c>
      <c r="BL49" s="23" t="str">
        <f>IF(SUMPRODUCT($K$58:BK$58,$K49:BK49)&lt;0.5, "Pending", IF(BK49&lt;0.5, "Complete", "In Progress"))</f>
        <v>Pending</v>
      </c>
      <c r="BM49" s="22">
        <v>0</v>
      </c>
      <c r="BN49" s="22">
        <f t="shared" ref="BN49:BN55" si="150">MAX(BK49-BM49,0)</f>
        <v>0</v>
      </c>
      <c r="BO49" s="23" t="str">
        <f>IF(SUMPRODUCT($K$58:BN$58,$K49:BN49)&lt;0.5, "Pending", IF(BN49&lt;0.5, "Complete", "In Progress"))</f>
        <v>Pending</v>
      </c>
      <c r="BP49" s="22">
        <v>0</v>
      </c>
      <c r="BQ49" s="22">
        <f t="shared" ref="BQ49:BQ55" si="151">MAX(BN49-BP49,0)</f>
        <v>0</v>
      </c>
      <c r="BR49" s="23" t="str">
        <f>IF(SUMPRODUCT($K$58:BQ$58,$K49:BQ49)&lt;0.5, "Pending", IF(BQ49&lt;0.5, "Complete", "In Progress"))</f>
        <v>Pending</v>
      </c>
      <c r="BS49" s="22">
        <v>0</v>
      </c>
      <c r="BT49" s="22">
        <f t="shared" ref="BT49:BT55" si="152">MAX(BQ49-BS49,0)</f>
        <v>0</v>
      </c>
      <c r="BU49" s="23" t="str">
        <f>IF(SUMPRODUCT($K$58:BT$58,$K49:BT49)&lt;0.5, "Pending", IF(BT49&lt;0.5, "Complete", "In Progress"))</f>
        <v>Pending</v>
      </c>
      <c r="BV49" s="22">
        <v>0</v>
      </c>
      <c r="BW49" s="22">
        <f t="shared" ref="BW49:BW55" si="153">MAX(BT49-BV49,0)</f>
        <v>0</v>
      </c>
      <c r="BX49" s="23" t="str">
        <f>IF(SUMPRODUCT($K$58:BW$58,$K49:BW49)&lt;0.5, "Pending", IF(BW49&lt;0.5, "Complete", "In Progress"))</f>
        <v>Pending</v>
      </c>
      <c r="BY49" s="22">
        <v>0</v>
      </c>
      <c r="BZ49" s="22">
        <f t="shared" ref="BZ49:BZ55" si="154">MAX(BW49-BY49,0)</f>
        <v>0</v>
      </c>
      <c r="CA49" s="23" t="str">
        <f>IF(SUMPRODUCT($K$58:BZ$58,$K49:BZ49)&lt;0.5, "Pending", IF(BZ49&lt;0.5, "Complete", "In Progress"))</f>
        <v>Pending</v>
      </c>
      <c r="CB49" s="22">
        <v>0</v>
      </c>
      <c r="CC49" s="22">
        <f t="shared" ref="CC49:CC55" si="155">MAX(BZ49-CB49,0)</f>
        <v>0</v>
      </c>
      <c r="CD49" s="23" t="str">
        <f>IF(SUMPRODUCT($K$58:CC$58,$K49:CC49)&lt;0.5, "Pending", IF(CC49&lt;0.5, "Complete", "In Progress"))</f>
        <v>Pending</v>
      </c>
      <c r="CE49" s="22">
        <v>0</v>
      </c>
      <c r="CF49" s="22">
        <f t="shared" ref="CF49:CF55" si="156">MAX(CC49-CE49,0)</f>
        <v>0</v>
      </c>
      <c r="CG49" s="23" t="str">
        <f>IF(SUMPRODUCT($K$58:CF$58,$K49:CF49)&lt;0.5, "Pending", IF(CF49&lt;0.5, "Complete", "In Progress"))</f>
        <v>Pending</v>
      </c>
      <c r="CH49" s="22">
        <v>0</v>
      </c>
      <c r="CI49" s="22">
        <f t="shared" ref="CI49:CI55" si="157">MAX(CF49-CH49,0)</f>
        <v>0</v>
      </c>
      <c r="CJ49" s="23" t="str">
        <f>IF(SUMPRODUCT($K$58:CI$58,$K49:CI49)&lt;0.5, "Pending", IF(CI49&lt;0.5, "Complete", "In Progress"))</f>
        <v>Pending</v>
      </c>
      <c r="CK49" s="22">
        <v>0</v>
      </c>
      <c r="CL49" s="22">
        <f t="shared" ref="CL49:CL55" si="158">MAX(CI49-CK49,0)</f>
        <v>0</v>
      </c>
      <c r="CM49" s="23" t="str">
        <f>IF(SUMPRODUCT($K$58:CL$58,$K49:CL49)&lt;0.5, "Pending", IF(CL49&lt;0.5, "Complete", "In Progress"))</f>
        <v>Pending</v>
      </c>
      <c r="CN49" s="22">
        <v>0</v>
      </c>
      <c r="CO49" s="22">
        <f t="shared" ref="CO49:CO55" si="159">MAX(CL49-CN49,0)</f>
        <v>0</v>
      </c>
      <c r="CP49" s="23" t="str">
        <f>IF(SUMPRODUCT($K$58:CO$58,$K49:CO49)&lt;0.5, "Pending", IF(CO49&lt;0.5, "Complete", "In Progress"))</f>
        <v>Pending</v>
      </c>
      <c r="CQ49" s="22">
        <v>0</v>
      </c>
      <c r="CR49" s="22">
        <f t="shared" ref="CR49:CR55" si="160">MAX(CO49-CQ49,0)</f>
        <v>0</v>
      </c>
      <c r="CS49" s="23" t="str">
        <f>IF(SUMPRODUCT($K$58:CR$58,$K49:CR49)&lt;0.5, "Pending", IF(CR49&lt;0.5, "Complete", "In Progress"))</f>
        <v>Pending</v>
      </c>
      <c r="CT49" s="22">
        <v>0</v>
      </c>
      <c r="CU49" s="22">
        <f t="shared" ref="CU49:CU55" si="161">MAX(CR49-CT49,0)</f>
        <v>0</v>
      </c>
      <c r="CV49" s="23" t="str">
        <f>IF(SUMPRODUCT($K$58:CU$58,$K49:CU49)&lt;0.5, "Pending", IF(CU49&lt;0.5, "Complete", "In Progress"))</f>
        <v>Pending</v>
      </c>
      <c r="CW49" s="22"/>
      <c r="CX49" s="22"/>
      <c r="CY49" s="23"/>
      <c r="CZ49" s="22"/>
      <c r="DA49" s="22"/>
      <c r="DB49" s="23"/>
      <c r="DC49" s="22"/>
      <c r="DD49" s="22"/>
      <c r="DE49" s="23"/>
      <c r="DF49" s="22"/>
      <c r="DG49" s="22"/>
      <c r="DH49" s="23"/>
      <c r="DI49" s="22"/>
      <c r="DJ49" s="22"/>
      <c r="DK49" s="23"/>
      <c r="DL49" s="22"/>
      <c r="DM49" s="22"/>
      <c r="DN49" s="23"/>
      <c r="DO49" s="22"/>
      <c r="DP49" s="22"/>
      <c r="DQ49" s="23"/>
      <c r="DR49" s="22"/>
      <c r="DS49" s="22"/>
      <c r="DT49" s="23"/>
      <c r="DU49" s="22"/>
      <c r="DV49" s="22"/>
      <c r="DW49" s="23"/>
      <c r="DX49" s="22"/>
      <c r="DY49" s="22"/>
      <c r="DZ49" s="23"/>
      <c r="EA49" s="24"/>
      <c r="EB49" s="25"/>
    </row>
    <row r="50" spans="1:132" ht="12.75" customHeight="1" x14ac:dyDescent="0.25">
      <c r="A50" s="172"/>
      <c r="B50" s="17"/>
      <c r="C50" s="26"/>
      <c r="D50" s="169"/>
      <c r="E50" s="169"/>
      <c r="F50" s="18"/>
      <c r="G50" s="19" t="str">
        <f t="shared" ca="1" si="0"/>
        <v>Pending</v>
      </c>
      <c r="H50" s="21"/>
      <c r="I50" s="21">
        <f t="shared" si="1"/>
        <v>0</v>
      </c>
      <c r="J50" s="195">
        <v>0</v>
      </c>
      <c r="K50" s="22">
        <v>0</v>
      </c>
      <c r="L50" s="22">
        <f t="shared" si="132"/>
        <v>0</v>
      </c>
      <c r="M50" s="23" t="str">
        <f>IF(SUMPRODUCT($K$58:L$58,$K50:L50)&lt;0.5, "Pending", IF(L50&lt;0.5, "Complete", "In Progress"))</f>
        <v>Pending</v>
      </c>
      <c r="N50" s="22">
        <v>0</v>
      </c>
      <c r="O50" s="22">
        <f t="shared" si="133"/>
        <v>0</v>
      </c>
      <c r="P50" s="23" t="str">
        <f>IF(SUMPRODUCT($K$58:O$58,$K50:O50)&lt;0.5, "Pending", IF(O50&lt;0.5, "Complete", "In Progress"))</f>
        <v>Pending</v>
      </c>
      <c r="Q50" s="22">
        <v>0</v>
      </c>
      <c r="R50" s="22">
        <f t="shared" si="134"/>
        <v>0</v>
      </c>
      <c r="S50" s="23" t="str">
        <f>IF(SUMPRODUCT($K$58:R$58,$K50:R50)&lt;0.5, "Pending", IF(R50&lt;0.5, "Complete", "In Progress"))</f>
        <v>Pending</v>
      </c>
      <c r="T50" s="22">
        <v>0</v>
      </c>
      <c r="U50" s="22">
        <f t="shared" si="135"/>
        <v>0</v>
      </c>
      <c r="V50" s="23" t="str">
        <f>IF(SUMPRODUCT($K$58:U$58,$K50:U50)&lt;0.5, "Pending", IF(U50&lt;0.5, "Complete", "In Progress"))</f>
        <v>Pending</v>
      </c>
      <c r="W50" s="22">
        <v>0</v>
      </c>
      <c r="X50" s="22">
        <f t="shared" si="136"/>
        <v>0</v>
      </c>
      <c r="Y50" s="23" t="str">
        <f>IF(SUMPRODUCT($K$58:X$58,$K50:X50)&lt;0.5, "Pending", IF(X50&lt;0.5, "Complete", "In Progress"))</f>
        <v>Pending</v>
      </c>
      <c r="Z50" s="22">
        <v>0</v>
      </c>
      <c r="AA50" s="22">
        <f t="shared" si="137"/>
        <v>0</v>
      </c>
      <c r="AB50" s="23" t="str">
        <f>IF(SUMPRODUCT($K$58:AA$58,$K50:AA50)&lt;0.5, "Pending", IF(AA50&lt;0.5, "Complete", "In Progress"))</f>
        <v>Pending</v>
      </c>
      <c r="AC50" s="22">
        <v>0</v>
      </c>
      <c r="AD50" s="22">
        <f t="shared" si="138"/>
        <v>0</v>
      </c>
      <c r="AE50" s="23" t="str">
        <f>IF(SUMPRODUCT($K$58:AD$58,$K50:AD50)&lt;0.5, "Pending", IF(AD50&lt;0.5, "Complete", "In Progress"))</f>
        <v>Pending</v>
      </c>
      <c r="AF50" s="22">
        <v>0</v>
      </c>
      <c r="AG50" s="22">
        <f t="shared" si="139"/>
        <v>0</v>
      </c>
      <c r="AH50" s="23" t="str">
        <f>IF(SUMPRODUCT($K$58:AG$58,$K50:AG50)&lt;0.5, "Pending", IF(AG50&lt;0.5, "Complete", "In Progress"))</f>
        <v>Pending</v>
      </c>
      <c r="AI50" s="22">
        <v>0</v>
      </c>
      <c r="AJ50" s="22">
        <f t="shared" si="140"/>
        <v>0</v>
      </c>
      <c r="AK50" s="23" t="str">
        <f>IF(SUMPRODUCT($K$58:AJ$58,$K50:AJ50)&lt;0.5, "Pending", IF(AJ50&lt;0.5, "Complete", "In Progress"))</f>
        <v>Pending</v>
      </c>
      <c r="AL50" s="22">
        <v>0</v>
      </c>
      <c r="AM50" s="22">
        <f t="shared" si="141"/>
        <v>0</v>
      </c>
      <c r="AN50" s="23" t="str">
        <f>IF(SUMPRODUCT($K$58:AM$58,$K50:AM50)&lt;0.5, "Pending", IF(AM50&lt;0.5, "Complete", "In Progress"))</f>
        <v>Pending</v>
      </c>
      <c r="AO50" s="22">
        <v>0</v>
      </c>
      <c r="AP50" s="22">
        <f t="shared" si="142"/>
        <v>0</v>
      </c>
      <c r="AQ50" s="23" t="str">
        <f>IF(SUMPRODUCT($K$58:AP$58,$K50:AP50)&lt;0.5, "Pending", IF(AP50&lt;0.5, "Complete", "In Progress"))</f>
        <v>Pending</v>
      </c>
      <c r="AR50" s="22">
        <v>0</v>
      </c>
      <c r="AS50" s="22">
        <f t="shared" si="143"/>
        <v>0</v>
      </c>
      <c r="AT50" s="23" t="str">
        <f>IF(SUMPRODUCT($K$58:AS$58,$K50:AS50)&lt;0.5, "Pending", IF(AS50&lt;0.5, "Complete", "In Progress"))</f>
        <v>Pending</v>
      </c>
      <c r="AU50" s="22">
        <v>0</v>
      </c>
      <c r="AV50" s="22">
        <f t="shared" si="144"/>
        <v>0</v>
      </c>
      <c r="AW50" s="23" t="str">
        <f>IF(SUMPRODUCT($K$58:AV$58,$K50:AV50)&lt;0.5, "Pending", IF(AV50&lt;0.5, "Complete", "In Progress"))</f>
        <v>Pending</v>
      </c>
      <c r="AX50" s="22">
        <v>0</v>
      </c>
      <c r="AY50" s="22">
        <f t="shared" si="145"/>
        <v>0</v>
      </c>
      <c r="AZ50" s="23" t="str">
        <f>IF(SUMPRODUCT($K$58:AY$58,$K50:AY50)&lt;0.5, "Pending", IF(AY50&lt;0.5, "Complete", "In Progress"))</f>
        <v>Pending</v>
      </c>
      <c r="BA50" s="22">
        <v>0</v>
      </c>
      <c r="BB50" s="22">
        <f t="shared" si="146"/>
        <v>0</v>
      </c>
      <c r="BC50" s="23" t="str">
        <f>IF(SUMPRODUCT($K$58:BB$58,$K50:BB50)&lt;0.5, "Pending", IF(BB50&lt;0.5, "Complete", "In Progress"))</f>
        <v>Pending</v>
      </c>
      <c r="BD50" s="22">
        <v>0</v>
      </c>
      <c r="BE50" s="22">
        <f t="shared" si="147"/>
        <v>0</v>
      </c>
      <c r="BF50" s="23" t="str">
        <f>IF(SUMPRODUCT($K$58:BE$58,$K50:BE50)&lt;0.5, "Pending", IF(BE50&lt;0.5, "Complete", "In Progress"))</f>
        <v>Pending</v>
      </c>
      <c r="BG50" s="22">
        <v>0</v>
      </c>
      <c r="BH50" s="22">
        <f t="shared" si="148"/>
        <v>0</v>
      </c>
      <c r="BI50" s="23" t="str">
        <f>IF(SUMPRODUCT($K$58:BH$58,$K50:BH50)&lt;0.5, "Pending", IF(BH50&lt;0.5, "Complete", "In Progress"))</f>
        <v>Pending</v>
      </c>
      <c r="BJ50" s="22">
        <v>0</v>
      </c>
      <c r="BK50" s="22">
        <f t="shared" si="149"/>
        <v>0</v>
      </c>
      <c r="BL50" s="23" t="str">
        <f>IF(SUMPRODUCT($K$58:BK$58,$K50:BK50)&lt;0.5, "Pending", IF(BK50&lt;0.5, "Complete", "In Progress"))</f>
        <v>Pending</v>
      </c>
      <c r="BM50" s="22">
        <v>0</v>
      </c>
      <c r="BN50" s="22">
        <f t="shared" si="150"/>
        <v>0</v>
      </c>
      <c r="BO50" s="23" t="str">
        <f>IF(SUMPRODUCT($K$58:BN$58,$K50:BN50)&lt;0.5, "Pending", IF(BN50&lt;0.5, "Complete", "In Progress"))</f>
        <v>Pending</v>
      </c>
      <c r="BP50" s="22">
        <v>0</v>
      </c>
      <c r="BQ50" s="22">
        <f t="shared" si="151"/>
        <v>0</v>
      </c>
      <c r="BR50" s="23" t="str">
        <f>IF(SUMPRODUCT($K$58:BQ$58,$K50:BQ50)&lt;0.5, "Pending", IF(BQ50&lt;0.5, "Complete", "In Progress"))</f>
        <v>Pending</v>
      </c>
      <c r="BS50" s="22">
        <v>0</v>
      </c>
      <c r="BT50" s="22">
        <f t="shared" si="152"/>
        <v>0</v>
      </c>
      <c r="BU50" s="23" t="str">
        <f>IF(SUMPRODUCT($K$58:BT$58,$K50:BT50)&lt;0.5, "Pending", IF(BT50&lt;0.5, "Complete", "In Progress"))</f>
        <v>Pending</v>
      </c>
      <c r="BV50" s="22">
        <v>0</v>
      </c>
      <c r="BW50" s="22">
        <f t="shared" si="153"/>
        <v>0</v>
      </c>
      <c r="BX50" s="23" t="str">
        <f>IF(SUMPRODUCT($K$58:BW$58,$K50:BW50)&lt;0.5, "Pending", IF(BW50&lt;0.5, "Complete", "In Progress"))</f>
        <v>Pending</v>
      </c>
      <c r="BY50" s="22">
        <v>0</v>
      </c>
      <c r="BZ50" s="22">
        <f t="shared" si="154"/>
        <v>0</v>
      </c>
      <c r="CA50" s="23" t="str">
        <f>IF(SUMPRODUCT($K$58:BZ$58,$K50:BZ50)&lt;0.5, "Pending", IF(BZ50&lt;0.5, "Complete", "In Progress"))</f>
        <v>Pending</v>
      </c>
      <c r="CB50" s="22">
        <v>0</v>
      </c>
      <c r="CC50" s="22">
        <f t="shared" si="155"/>
        <v>0</v>
      </c>
      <c r="CD50" s="23" t="str">
        <f>IF(SUMPRODUCT($K$58:CC$58,$K50:CC50)&lt;0.5, "Pending", IF(CC50&lt;0.5, "Complete", "In Progress"))</f>
        <v>Pending</v>
      </c>
      <c r="CE50" s="22">
        <v>0</v>
      </c>
      <c r="CF50" s="22">
        <f t="shared" si="156"/>
        <v>0</v>
      </c>
      <c r="CG50" s="23" t="str">
        <f>IF(SUMPRODUCT($K$58:CF$58,$K50:CF50)&lt;0.5, "Pending", IF(CF50&lt;0.5, "Complete", "In Progress"))</f>
        <v>Pending</v>
      </c>
      <c r="CH50" s="22">
        <v>0</v>
      </c>
      <c r="CI50" s="22">
        <f t="shared" si="157"/>
        <v>0</v>
      </c>
      <c r="CJ50" s="23" t="str">
        <f>IF(SUMPRODUCT($K$58:CI$58,$K50:CI50)&lt;0.5, "Pending", IF(CI50&lt;0.5, "Complete", "In Progress"))</f>
        <v>Pending</v>
      </c>
      <c r="CK50" s="22">
        <v>0</v>
      </c>
      <c r="CL50" s="22">
        <f t="shared" si="158"/>
        <v>0</v>
      </c>
      <c r="CM50" s="23" t="str">
        <f>IF(SUMPRODUCT($K$58:CL$58,$K50:CL50)&lt;0.5, "Pending", IF(CL50&lt;0.5, "Complete", "In Progress"))</f>
        <v>Pending</v>
      </c>
      <c r="CN50" s="22">
        <v>0</v>
      </c>
      <c r="CO50" s="22">
        <f t="shared" si="159"/>
        <v>0</v>
      </c>
      <c r="CP50" s="23" t="str">
        <f>IF(SUMPRODUCT($K$58:CO$58,$K50:CO50)&lt;0.5, "Pending", IF(CO50&lt;0.5, "Complete", "In Progress"))</f>
        <v>Pending</v>
      </c>
      <c r="CQ50" s="22">
        <v>0</v>
      </c>
      <c r="CR50" s="22">
        <f t="shared" si="160"/>
        <v>0</v>
      </c>
      <c r="CS50" s="23" t="str">
        <f>IF(SUMPRODUCT($K$58:CR$58,$K50:CR50)&lt;0.5, "Pending", IF(CR50&lt;0.5, "Complete", "In Progress"))</f>
        <v>Pending</v>
      </c>
      <c r="CT50" s="22">
        <v>0</v>
      </c>
      <c r="CU50" s="22">
        <f t="shared" si="161"/>
        <v>0</v>
      </c>
      <c r="CV50" s="23" t="str">
        <f>IF(SUMPRODUCT($K$58:CU$58,$K50:CU50)&lt;0.5, "Pending", IF(CU50&lt;0.5, "Complete", "In Progress"))</f>
        <v>Pending</v>
      </c>
      <c r="CW50" s="22"/>
      <c r="CX50" s="22"/>
      <c r="CY50" s="23"/>
      <c r="CZ50" s="22"/>
      <c r="DA50" s="22"/>
      <c r="DB50" s="23"/>
      <c r="DC50" s="22"/>
      <c r="DD50" s="22"/>
      <c r="DE50" s="23"/>
      <c r="DF50" s="22"/>
      <c r="DG50" s="22"/>
      <c r="DH50" s="23"/>
      <c r="DI50" s="22"/>
      <c r="DJ50" s="22"/>
      <c r="DK50" s="23"/>
      <c r="DL50" s="22"/>
      <c r="DM50" s="22"/>
      <c r="DN50" s="23"/>
      <c r="DO50" s="22"/>
      <c r="DP50" s="22"/>
      <c r="DQ50" s="23"/>
      <c r="DR50" s="22"/>
      <c r="DS50" s="22"/>
      <c r="DT50" s="23"/>
      <c r="DU50" s="22"/>
      <c r="DV50" s="22"/>
      <c r="DW50" s="23"/>
      <c r="DX50" s="22"/>
      <c r="DY50" s="22"/>
      <c r="DZ50" s="23"/>
      <c r="EA50" s="24"/>
      <c r="EB50" s="25"/>
    </row>
    <row r="51" spans="1:132" ht="12.75" customHeight="1" x14ac:dyDescent="0.25">
      <c r="A51" s="172"/>
      <c r="B51" s="17"/>
      <c r="C51" s="26"/>
      <c r="D51" s="169"/>
      <c r="E51" s="169"/>
      <c r="F51" s="18"/>
      <c r="G51" s="19" t="str">
        <f t="shared" ca="1" si="0"/>
        <v>Pending</v>
      </c>
      <c r="H51" s="21"/>
      <c r="I51" s="21">
        <f t="shared" si="1"/>
        <v>0</v>
      </c>
      <c r="J51" s="195">
        <v>0</v>
      </c>
      <c r="K51" s="22">
        <v>0</v>
      </c>
      <c r="L51" s="22">
        <f t="shared" si="132"/>
        <v>0</v>
      </c>
      <c r="M51" s="23" t="str">
        <f>IF(SUMPRODUCT($K$58:L$58,$K51:L51)&lt;0.5, "Pending", IF(L51&lt;0.5, "Complete", "In Progress"))</f>
        <v>Pending</v>
      </c>
      <c r="N51" s="22">
        <v>0</v>
      </c>
      <c r="O51" s="22">
        <f t="shared" si="133"/>
        <v>0</v>
      </c>
      <c r="P51" s="23" t="str">
        <f>IF(SUMPRODUCT($K$58:O$58,$K51:O51)&lt;0.5, "Pending", IF(O51&lt;0.5, "Complete", "In Progress"))</f>
        <v>Pending</v>
      </c>
      <c r="Q51" s="22">
        <v>0</v>
      </c>
      <c r="R51" s="22">
        <f t="shared" si="134"/>
        <v>0</v>
      </c>
      <c r="S51" s="23" t="str">
        <f>IF(SUMPRODUCT($K$58:R$58,$K51:R51)&lt;0.5, "Pending", IF(R51&lt;0.5, "Complete", "In Progress"))</f>
        <v>Pending</v>
      </c>
      <c r="T51" s="22">
        <v>0</v>
      </c>
      <c r="U51" s="22">
        <f t="shared" si="135"/>
        <v>0</v>
      </c>
      <c r="V51" s="23" t="str">
        <f>IF(SUMPRODUCT($K$58:U$58,$K51:U51)&lt;0.5, "Pending", IF(U51&lt;0.5, "Complete", "In Progress"))</f>
        <v>Pending</v>
      </c>
      <c r="W51" s="22">
        <v>0</v>
      </c>
      <c r="X51" s="22">
        <f t="shared" si="136"/>
        <v>0</v>
      </c>
      <c r="Y51" s="23" t="str">
        <f>IF(SUMPRODUCT($K$58:X$58,$K51:X51)&lt;0.5, "Pending", IF(X51&lt;0.5, "Complete", "In Progress"))</f>
        <v>Pending</v>
      </c>
      <c r="Z51" s="22">
        <v>0</v>
      </c>
      <c r="AA51" s="22">
        <f t="shared" si="137"/>
        <v>0</v>
      </c>
      <c r="AB51" s="23" t="str">
        <f>IF(SUMPRODUCT($K$58:AA$58,$K51:AA51)&lt;0.5, "Pending", IF(AA51&lt;0.5, "Complete", "In Progress"))</f>
        <v>Pending</v>
      </c>
      <c r="AC51" s="22">
        <v>0</v>
      </c>
      <c r="AD51" s="22">
        <f t="shared" si="138"/>
        <v>0</v>
      </c>
      <c r="AE51" s="23" t="str">
        <f>IF(SUMPRODUCT($K$58:AD$58,$K51:AD51)&lt;0.5, "Pending", IF(AD51&lt;0.5, "Complete", "In Progress"))</f>
        <v>Pending</v>
      </c>
      <c r="AF51" s="22">
        <v>0</v>
      </c>
      <c r="AG51" s="22">
        <f t="shared" si="139"/>
        <v>0</v>
      </c>
      <c r="AH51" s="23" t="str">
        <f>IF(SUMPRODUCT($K$58:AG$58,$K51:AG51)&lt;0.5, "Pending", IF(AG51&lt;0.5, "Complete", "In Progress"))</f>
        <v>Pending</v>
      </c>
      <c r="AI51" s="22">
        <v>0</v>
      </c>
      <c r="AJ51" s="22">
        <f t="shared" si="140"/>
        <v>0</v>
      </c>
      <c r="AK51" s="23" t="str">
        <f>IF(SUMPRODUCT($K$58:AJ$58,$K51:AJ51)&lt;0.5, "Pending", IF(AJ51&lt;0.5, "Complete", "In Progress"))</f>
        <v>Pending</v>
      </c>
      <c r="AL51" s="22">
        <v>0</v>
      </c>
      <c r="AM51" s="22">
        <f t="shared" si="141"/>
        <v>0</v>
      </c>
      <c r="AN51" s="23" t="str">
        <f>IF(SUMPRODUCT($K$58:AM$58,$K51:AM51)&lt;0.5, "Pending", IF(AM51&lt;0.5, "Complete", "In Progress"))</f>
        <v>Pending</v>
      </c>
      <c r="AO51" s="22">
        <v>0</v>
      </c>
      <c r="AP51" s="22">
        <f t="shared" si="142"/>
        <v>0</v>
      </c>
      <c r="AQ51" s="23" t="str">
        <f>IF(SUMPRODUCT($K$58:AP$58,$K51:AP51)&lt;0.5, "Pending", IF(AP51&lt;0.5, "Complete", "In Progress"))</f>
        <v>Pending</v>
      </c>
      <c r="AR51" s="22">
        <v>0</v>
      </c>
      <c r="AS51" s="22">
        <f t="shared" si="143"/>
        <v>0</v>
      </c>
      <c r="AT51" s="23" t="str">
        <f>IF(SUMPRODUCT($K$58:AS$58,$K51:AS51)&lt;0.5, "Pending", IF(AS51&lt;0.5, "Complete", "In Progress"))</f>
        <v>Pending</v>
      </c>
      <c r="AU51" s="22">
        <v>0</v>
      </c>
      <c r="AV51" s="22">
        <f t="shared" si="144"/>
        <v>0</v>
      </c>
      <c r="AW51" s="23" t="str">
        <f>IF(SUMPRODUCT($K$58:AV$58,$K51:AV51)&lt;0.5, "Pending", IF(AV51&lt;0.5, "Complete", "In Progress"))</f>
        <v>Pending</v>
      </c>
      <c r="AX51" s="22">
        <v>0</v>
      </c>
      <c r="AY51" s="22">
        <f t="shared" si="145"/>
        <v>0</v>
      </c>
      <c r="AZ51" s="23" t="str">
        <f>IF(SUMPRODUCT($K$58:AY$58,$K51:AY51)&lt;0.5, "Pending", IF(AY51&lt;0.5, "Complete", "In Progress"))</f>
        <v>Pending</v>
      </c>
      <c r="BA51" s="22">
        <v>0</v>
      </c>
      <c r="BB51" s="22">
        <f t="shared" si="146"/>
        <v>0</v>
      </c>
      <c r="BC51" s="23" t="str">
        <f>IF(SUMPRODUCT($K$58:BB$58,$K51:BB51)&lt;0.5, "Pending", IF(BB51&lt;0.5, "Complete", "In Progress"))</f>
        <v>Pending</v>
      </c>
      <c r="BD51" s="22">
        <v>0</v>
      </c>
      <c r="BE51" s="22">
        <f t="shared" si="147"/>
        <v>0</v>
      </c>
      <c r="BF51" s="23" t="str">
        <f>IF(SUMPRODUCT($K$58:BE$58,$K51:BE51)&lt;0.5, "Pending", IF(BE51&lt;0.5, "Complete", "In Progress"))</f>
        <v>Pending</v>
      </c>
      <c r="BG51" s="22">
        <v>0</v>
      </c>
      <c r="BH51" s="22">
        <f t="shared" si="148"/>
        <v>0</v>
      </c>
      <c r="BI51" s="23" t="str">
        <f>IF(SUMPRODUCT($K$58:BH$58,$K51:BH51)&lt;0.5, "Pending", IF(BH51&lt;0.5, "Complete", "In Progress"))</f>
        <v>Pending</v>
      </c>
      <c r="BJ51" s="22">
        <v>0</v>
      </c>
      <c r="BK51" s="22">
        <f t="shared" si="149"/>
        <v>0</v>
      </c>
      <c r="BL51" s="23" t="str">
        <f>IF(SUMPRODUCT($K$58:BK$58,$K51:BK51)&lt;0.5, "Pending", IF(BK51&lt;0.5, "Complete", "In Progress"))</f>
        <v>Pending</v>
      </c>
      <c r="BM51" s="22">
        <v>0</v>
      </c>
      <c r="BN51" s="22">
        <f t="shared" si="150"/>
        <v>0</v>
      </c>
      <c r="BO51" s="23" t="str">
        <f>IF(SUMPRODUCT($K$58:BN$58,$K51:BN51)&lt;0.5, "Pending", IF(BN51&lt;0.5, "Complete", "In Progress"))</f>
        <v>Pending</v>
      </c>
      <c r="BP51" s="22">
        <v>0</v>
      </c>
      <c r="BQ51" s="22">
        <f t="shared" si="151"/>
        <v>0</v>
      </c>
      <c r="BR51" s="23" t="str">
        <f>IF(SUMPRODUCT($K$58:BQ$58,$K51:BQ51)&lt;0.5, "Pending", IF(BQ51&lt;0.5, "Complete", "In Progress"))</f>
        <v>Pending</v>
      </c>
      <c r="BS51" s="22">
        <v>0</v>
      </c>
      <c r="BT51" s="22">
        <f t="shared" si="152"/>
        <v>0</v>
      </c>
      <c r="BU51" s="23" t="str">
        <f>IF(SUMPRODUCT($K$58:BT$58,$K51:BT51)&lt;0.5, "Pending", IF(BT51&lt;0.5, "Complete", "In Progress"))</f>
        <v>Pending</v>
      </c>
      <c r="BV51" s="22">
        <v>0</v>
      </c>
      <c r="BW51" s="22">
        <f t="shared" si="153"/>
        <v>0</v>
      </c>
      <c r="BX51" s="23" t="str">
        <f>IF(SUMPRODUCT($K$58:BW$58,$K51:BW51)&lt;0.5, "Pending", IF(BW51&lt;0.5, "Complete", "In Progress"))</f>
        <v>Pending</v>
      </c>
      <c r="BY51" s="22">
        <v>0</v>
      </c>
      <c r="BZ51" s="22">
        <f t="shared" si="154"/>
        <v>0</v>
      </c>
      <c r="CA51" s="23" t="str">
        <f>IF(SUMPRODUCT($K$58:BZ$58,$K51:BZ51)&lt;0.5, "Pending", IF(BZ51&lt;0.5, "Complete", "In Progress"))</f>
        <v>Pending</v>
      </c>
      <c r="CB51" s="22">
        <v>0</v>
      </c>
      <c r="CC51" s="22">
        <f t="shared" si="155"/>
        <v>0</v>
      </c>
      <c r="CD51" s="23" t="str">
        <f>IF(SUMPRODUCT($K$58:CC$58,$K51:CC51)&lt;0.5, "Pending", IF(CC51&lt;0.5, "Complete", "In Progress"))</f>
        <v>Pending</v>
      </c>
      <c r="CE51" s="22">
        <v>0</v>
      </c>
      <c r="CF51" s="22">
        <f t="shared" si="156"/>
        <v>0</v>
      </c>
      <c r="CG51" s="23" t="str">
        <f>IF(SUMPRODUCT($K$58:CF$58,$K51:CF51)&lt;0.5, "Pending", IF(CF51&lt;0.5, "Complete", "In Progress"))</f>
        <v>Pending</v>
      </c>
      <c r="CH51" s="22">
        <v>0</v>
      </c>
      <c r="CI51" s="22">
        <f t="shared" si="157"/>
        <v>0</v>
      </c>
      <c r="CJ51" s="23" t="str">
        <f>IF(SUMPRODUCT($K$58:CI$58,$K51:CI51)&lt;0.5, "Pending", IF(CI51&lt;0.5, "Complete", "In Progress"))</f>
        <v>Pending</v>
      </c>
      <c r="CK51" s="22">
        <v>0</v>
      </c>
      <c r="CL51" s="22">
        <f t="shared" si="158"/>
        <v>0</v>
      </c>
      <c r="CM51" s="23" t="str">
        <f>IF(SUMPRODUCT($K$58:CL$58,$K51:CL51)&lt;0.5, "Pending", IF(CL51&lt;0.5, "Complete", "In Progress"))</f>
        <v>Pending</v>
      </c>
      <c r="CN51" s="22">
        <v>0</v>
      </c>
      <c r="CO51" s="22">
        <f t="shared" si="159"/>
        <v>0</v>
      </c>
      <c r="CP51" s="23" t="str">
        <f>IF(SUMPRODUCT($K$58:CO$58,$K51:CO51)&lt;0.5, "Pending", IF(CO51&lt;0.5, "Complete", "In Progress"))</f>
        <v>Pending</v>
      </c>
      <c r="CQ51" s="22">
        <v>0</v>
      </c>
      <c r="CR51" s="22">
        <f t="shared" si="160"/>
        <v>0</v>
      </c>
      <c r="CS51" s="23" t="str">
        <f>IF(SUMPRODUCT($K$58:CR$58,$K51:CR51)&lt;0.5, "Pending", IF(CR51&lt;0.5, "Complete", "In Progress"))</f>
        <v>Pending</v>
      </c>
      <c r="CT51" s="22">
        <v>0</v>
      </c>
      <c r="CU51" s="22">
        <f t="shared" si="161"/>
        <v>0</v>
      </c>
      <c r="CV51" s="23" t="str">
        <f>IF(SUMPRODUCT($K$58:CU$58,$K51:CU51)&lt;0.5, "Pending", IF(CU51&lt;0.5, "Complete", "In Progress"))</f>
        <v>Pending</v>
      </c>
      <c r="CW51" s="22"/>
      <c r="CX51" s="22"/>
      <c r="CY51" s="23"/>
      <c r="CZ51" s="22"/>
      <c r="DA51" s="22"/>
      <c r="DB51" s="23"/>
      <c r="DC51" s="22"/>
      <c r="DD51" s="22"/>
      <c r="DE51" s="23"/>
      <c r="DF51" s="22"/>
      <c r="DG51" s="22"/>
      <c r="DH51" s="23"/>
      <c r="DI51" s="22"/>
      <c r="DJ51" s="22"/>
      <c r="DK51" s="23"/>
      <c r="DL51" s="22"/>
      <c r="DM51" s="22"/>
      <c r="DN51" s="23"/>
      <c r="DO51" s="22"/>
      <c r="DP51" s="22"/>
      <c r="DQ51" s="23"/>
      <c r="DR51" s="22"/>
      <c r="DS51" s="22"/>
      <c r="DT51" s="23"/>
      <c r="DU51" s="22"/>
      <c r="DV51" s="22"/>
      <c r="DW51" s="23"/>
      <c r="DX51" s="22"/>
      <c r="DY51" s="22"/>
      <c r="DZ51" s="23"/>
      <c r="EA51" s="24"/>
      <c r="EB51" s="25"/>
    </row>
    <row r="52" spans="1:132" ht="12.75" customHeight="1" x14ac:dyDescent="0.25">
      <c r="A52" s="172"/>
      <c r="B52" s="17"/>
      <c r="C52" s="26"/>
      <c r="D52" s="169"/>
      <c r="E52" s="169"/>
      <c r="F52" s="18"/>
      <c r="G52" s="19" t="str">
        <f t="shared" ca="1" si="0"/>
        <v>Pending</v>
      </c>
      <c r="H52" s="21"/>
      <c r="I52" s="21">
        <f t="shared" si="1"/>
        <v>0</v>
      </c>
      <c r="J52" s="195">
        <v>0</v>
      </c>
      <c r="K52" s="22">
        <v>0</v>
      </c>
      <c r="L52" s="22">
        <f t="shared" si="132"/>
        <v>0</v>
      </c>
      <c r="M52" s="23" t="str">
        <f>IF(SUMPRODUCT($K$58:L$58,$K52:L52)&lt;0.5, "Pending", IF(L52&lt;0.5, "Complete", "In Progress"))</f>
        <v>Pending</v>
      </c>
      <c r="N52" s="22">
        <v>0</v>
      </c>
      <c r="O52" s="22">
        <f t="shared" si="133"/>
        <v>0</v>
      </c>
      <c r="P52" s="23" t="str">
        <f>IF(SUMPRODUCT($K$58:O$58,$K52:O52)&lt;0.5, "Pending", IF(O52&lt;0.5, "Complete", "In Progress"))</f>
        <v>Pending</v>
      </c>
      <c r="Q52" s="22">
        <v>0</v>
      </c>
      <c r="R52" s="22">
        <f t="shared" si="134"/>
        <v>0</v>
      </c>
      <c r="S52" s="23" t="str">
        <f>IF(SUMPRODUCT($K$58:R$58,$K52:R52)&lt;0.5, "Pending", IF(R52&lt;0.5, "Complete", "In Progress"))</f>
        <v>Pending</v>
      </c>
      <c r="T52" s="22">
        <v>0</v>
      </c>
      <c r="U52" s="22">
        <f t="shared" si="135"/>
        <v>0</v>
      </c>
      <c r="V52" s="23" t="str">
        <f>IF(SUMPRODUCT($K$58:U$58,$K52:U52)&lt;0.5, "Pending", IF(U52&lt;0.5, "Complete", "In Progress"))</f>
        <v>Pending</v>
      </c>
      <c r="W52" s="22">
        <v>0</v>
      </c>
      <c r="X52" s="22">
        <f t="shared" si="136"/>
        <v>0</v>
      </c>
      <c r="Y52" s="23" t="str">
        <f>IF(SUMPRODUCT($K$58:X$58,$K52:X52)&lt;0.5, "Pending", IF(X52&lt;0.5, "Complete", "In Progress"))</f>
        <v>Pending</v>
      </c>
      <c r="Z52" s="22">
        <v>0</v>
      </c>
      <c r="AA52" s="22">
        <f t="shared" si="137"/>
        <v>0</v>
      </c>
      <c r="AB52" s="23" t="str">
        <f>IF(SUMPRODUCT($K$58:AA$58,$K52:AA52)&lt;0.5, "Pending", IF(AA52&lt;0.5, "Complete", "In Progress"))</f>
        <v>Pending</v>
      </c>
      <c r="AC52" s="22">
        <v>0</v>
      </c>
      <c r="AD52" s="22">
        <f t="shared" si="138"/>
        <v>0</v>
      </c>
      <c r="AE52" s="23" t="str">
        <f>IF(SUMPRODUCT($K$58:AD$58,$K52:AD52)&lt;0.5, "Pending", IF(AD52&lt;0.5, "Complete", "In Progress"))</f>
        <v>Pending</v>
      </c>
      <c r="AF52" s="22">
        <v>0</v>
      </c>
      <c r="AG52" s="22">
        <f t="shared" si="139"/>
        <v>0</v>
      </c>
      <c r="AH52" s="23" t="str">
        <f>IF(SUMPRODUCT($K$58:AG$58,$K52:AG52)&lt;0.5, "Pending", IF(AG52&lt;0.5, "Complete", "In Progress"))</f>
        <v>Pending</v>
      </c>
      <c r="AI52" s="22">
        <v>0</v>
      </c>
      <c r="AJ52" s="22">
        <f t="shared" si="140"/>
        <v>0</v>
      </c>
      <c r="AK52" s="23" t="str">
        <f>IF(SUMPRODUCT($K$58:AJ$58,$K52:AJ52)&lt;0.5, "Pending", IF(AJ52&lt;0.5, "Complete", "In Progress"))</f>
        <v>Pending</v>
      </c>
      <c r="AL52" s="22">
        <v>0</v>
      </c>
      <c r="AM52" s="22">
        <f t="shared" si="141"/>
        <v>0</v>
      </c>
      <c r="AN52" s="23" t="str">
        <f>IF(SUMPRODUCT($K$58:AM$58,$K52:AM52)&lt;0.5, "Pending", IF(AM52&lt;0.5, "Complete", "In Progress"))</f>
        <v>Pending</v>
      </c>
      <c r="AO52" s="22">
        <v>0</v>
      </c>
      <c r="AP52" s="22">
        <f t="shared" si="142"/>
        <v>0</v>
      </c>
      <c r="AQ52" s="23" t="str">
        <f>IF(SUMPRODUCT($K$58:AP$58,$K52:AP52)&lt;0.5, "Pending", IF(AP52&lt;0.5, "Complete", "In Progress"))</f>
        <v>Pending</v>
      </c>
      <c r="AR52" s="22">
        <v>0</v>
      </c>
      <c r="AS52" s="22">
        <f t="shared" si="143"/>
        <v>0</v>
      </c>
      <c r="AT52" s="23" t="str">
        <f>IF(SUMPRODUCT($K$58:AS$58,$K52:AS52)&lt;0.5, "Pending", IF(AS52&lt;0.5, "Complete", "In Progress"))</f>
        <v>Pending</v>
      </c>
      <c r="AU52" s="22">
        <v>0</v>
      </c>
      <c r="AV52" s="22">
        <f t="shared" si="144"/>
        <v>0</v>
      </c>
      <c r="AW52" s="23" t="str">
        <f>IF(SUMPRODUCT($K$58:AV$58,$K52:AV52)&lt;0.5, "Pending", IF(AV52&lt;0.5, "Complete", "In Progress"))</f>
        <v>Pending</v>
      </c>
      <c r="AX52" s="22">
        <v>0</v>
      </c>
      <c r="AY52" s="22">
        <f t="shared" si="145"/>
        <v>0</v>
      </c>
      <c r="AZ52" s="23" t="str">
        <f>IF(SUMPRODUCT($K$58:AY$58,$K52:AY52)&lt;0.5, "Pending", IF(AY52&lt;0.5, "Complete", "In Progress"))</f>
        <v>Pending</v>
      </c>
      <c r="BA52" s="22">
        <v>0</v>
      </c>
      <c r="BB52" s="22">
        <f t="shared" si="146"/>
        <v>0</v>
      </c>
      <c r="BC52" s="23" t="str">
        <f>IF(SUMPRODUCT($K$58:BB$58,$K52:BB52)&lt;0.5, "Pending", IF(BB52&lt;0.5, "Complete", "In Progress"))</f>
        <v>Pending</v>
      </c>
      <c r="BD52" s="22">
        <v>0</v>
      </c>
      <c r="BE52" s="22">
        <f t="shared" si="147"/>
        <v>0</v>
      </c>
      <c r="BF52" s="23" t="str">
        <f>IF(SUMPRODUCT($K$58:BE$58,$K52:BE52)&lt;0.5, "Pending", IF(BE52&lt;0.5, "Complete", "In Progress"))</f>
        <v>Pending</v>
      </c>
      <c r="BG52" s="22">
        <v>0</v>
      </c>
      <c r="BH52" s="22">
        <f t="shared" si="148"/>
        <v>0</v>
      </c>
      <c r="BI52" s="23" t="str">
        <f>IF(SUMPRODUCT($K$58:BH$58,$K52:BH52)&lt;0.5, "Pending", IF(BH52&lt;0.5, "Complete", "In Progress"))</f>
        <v>Pending</v>
      </c>
      <c r="BJ52" s="22">
        <v>0</v>
      </c>
      <c r="BK52" s="22">
        <f t="shared" si="149"/>
        <v>0</v>
      </c>
      <c r="BL52" s="23" t="str">
        <f>IF(SUMPRODUCT($K$58:BK$58,$K52:BK52)&lt;0.5, "Pending", IF(BK52&lt;0.5, "Complete", "In Progress"))</f>
        <v>Pending</v>
      </c>
      <c r="BM52" s="22">
        <v>0</v>
      </c>
      <c r="BN52" s="22">
        <f t="shared" si="150"/>
        <v>0</v>
      </c>
      <c r="BO52" s="23" t="str">
        <f>IF(SUMPRODUCT($K$58:BN$58,$K52:BN52)&lt;0.5, "Pending", IF(BN52&lt;0.5, "Complete", "In Progress"))</f>
        <v>Pending</v>
      </c>
      <c r="BP52" s="22">
        <v>0</v>
      </c>
      <c r="BQ52" s="22">
        <f t="shared" si="151"/>
        <v>0</v>
      </c>
      <c r="BR52" s="23" t="str">
        <f>IF(SUMPRODUCT($K$58:BQ$58,$K52:BQ52)&lt;0.5, "Pending", IF(BQ52&lt;0.5, "Complete", "In Progress"))</f>
        <v>Pending</v>
      </c>
      <c r="BS52" s="22">
        <v>0</v>
      </c>
      <c r="BT52" s="22">
        <f t="shared" si="152"/>
        <v>0</v>
      </c>
      <c r="BU52" s="23" t="str">
        <f>IF(SUMPRODUCT($K$58:BT$58,$K52:BT52)&lt;0.5, "Pending", IF(BT52&lt;0.5, "Complete", "In Progress"))</f>
        <v>Pending</v>
      </c>
      <c r="BV52" s="22">
        <v>0</v>
      </c>
      <c r="BW52" s="22">
        <f t="shared" si="153"/>
        <v>0</v>
      </c>
      <c r="BX52" s="23" t="str">
        <f>IF(SUMPRODUCT($K$58:BW$58,$K52:BW52)&lt;0.5, "Pending", IF(BW52&lt;0.5, "Complete", "In Progress"))</f>
        <v>Pending</v>
      </c>
      <c r="BY52" s="22">
        <v>0</v>
      </c>
      <c r="BZ52" s="22">
        <f t="shared" si="154"/>
        <v>0</v>
      </c>
      <c r="CA52" s="23" t="str">
        <f>IF(SUMPRODUCT($K$58:BZ$58,$K52:BZ52)&lt;0.5, "Pending", IF(BZ52&lt;0.5, "Complete", "In Progress"))</f>
        <v>Pending</v>
      </c>
      <c r="CB52" s="22">
        <v>0</v>
      </c>
      <c r="CC52" s="22">
        <f t="shared" si="155"/>
        <v>0</v>
      </c>
      <c r="CD52" s="23" t="str">
        <f>IF(SUMPRODUCT($K$58:CC$58,$K52:CC52)&lt;0.5, "Pending", IF(CC52&lt;0.5, "Complete", "In Progress"))</f>
        <v>Pending</v>
      </c>
      <c r="CE52" s="22">
        <v>0</v>
      </c>
      <c r="CF52" s="22">
        <f t="shared" si="156"/>
        <v>0</v>
      </c>
      <c r="CG52" s="23" t="str">
        <f>IF(SUMPRODUCT($K$58:CF$58,$K52:CF52)&lt;0.5, "Pending", IF(CF52&lt;0.5, "Complete", "In Progress"))</f>
        <v>Pending</v>
      </c>
      <c r="CH52" s="22">
        <v>0</v>
      </c>
      <c r="CI52" s="22">
        <f t="shared" si="157"/>
        <v>0</v>
      </c>
      <c r="CJ52" s="23" t="str">
        <f>IF(SUMPRODUCT($K$58:CI$58,$K52:CI52)&lt;0.5, "Pending", IF(CI52&lt;0.5, "Complete", "In Progress"))</f>
        <v>Pending</v>
      </c>
      <c r="CK52" s="22">
        <v>0</v>
      </c>
      <c r="CL52" s="22">
        <f t="shared" si="158"/>
        <v>0</v>
      </c>
      <c r="CM52" s="23" t="str">
        <f>IF(SUMPRODUCT($K$58:CL$58,$K52:CL52)&lt;0.5, "Pending", IF(CL52&lt;0.5, "Complete", "In Progress"))</f>
        <v>Pending</v>
      </c>
      <c r="CN52" s="22">
        <v>0</v>
      </c>
      <c r="CO52" s="22">
        <f t="shared" si="159"/>
        <v>0</v>
      </c>
      <c r="CP52" s="23" t="str">
        <f>IF(SUMPRODUCT($K$58:CO$58,$K52:CO52)&lt;0.5, "Pending", IF(CO52&lt;0.5, "Complete", "In Progress"))</f>
        <v>Pending</v>
      </c>
      <c r="CQ52" s="22">
        <v>0</v>
      </c>
      <c r="CR52" s="22">
        <f t="shared" si="160"/>
        <v>0</v>
      </c>
      <c r="CS52" s="23" t="str">
        <f>IF(SUMPRODUCT($K$58:CR$58,$K52:CR52)&lt;0.5, "Pending", IF(CR52&lt;0.5, "Complete", "In Progress"))</f>
        <v>Pending</v>
      </c>
      <c r="CT52" s="22">
        <v>0</v>
      </c>
      <c r="CU52" s="22">
        <f t="shared" si="161"/>
        <v>0</v>
      </c>
      <c r="CV52" s="23" t="str">
        <f>IF(SUMPRODUCT($K$58:CU$58,$K52:CU52)&lt;0.5, "Pending", IF(CU52&lt;0.5, "Complete", "In Progress"))</f>
        <v>Pending</v>
      </c>
      <c r="CW52" s="22"/>
      <c r="CX52" s="22"/>
      <c r="CY52" s="23"/>
      <c r="CZ52" s="22"/>
      <c r="DA52" s="22"/>
      <c r="DB52" s="23"/>
      <c r="DC52" s="22"/>
      <c r="DD52" s="22"/>
      <c r="DE52" s="23"/>
      <c r="DF52" s="22"/>
      <c r="DG52" s="22"/>
      <c r="DH52" s="23"/>
      <c r="DI52" s="22"/>
      <c r="DJ52" s="22"/>
      <c r="DK52" s="23"/>
      <c r="DL52" s="22"/>
      <c r="DM52" s="22"/>
      <c r="DN52" s="23"/>
      <c r="DO52" s="22"/>
      <c r="DP52" s="22"/>
      <c r="DQ52" s="23"/>
      <c r="DR52" s="22"/>
      <c r="DS52" s="22"/>
      <c r="DT52" s="23"/>
      <c r="DU52" s="22"/>
      <c r="DV52" s="22"/>
      <c r="DW52" s="23"/>
      <c r="DX52" s="22"/>
      <c r="DY52" s="22"/>
      <c r="DZ52" s="23"/>
      <c r="EA52" s="24"/>
      <c r="EB52" s="25"/>
    </row>
    <row r="53" spans="1:132" ht="12.75" customHeight="1" x14ac:dyDescent="0.25">
      <c r="A53" s="172"/>
      <c r="B53" s="17"/>
      <c r="C53" s="26"/>
      <c r="D53" s="169"/>
      <c r="E53" s="169"/>
      <c r="F53" s="18"/>
      <c r="G53" s="19" t="str">
        <f t="shared" ca="1" si="0"/>
        <v>Pending</v>
      </c>
      <c r="H53" s="21"/>
      <c r="I53" s="21">
        <f t="shared" si="1"/>
        <v>0</v>
      </c>
      <c r="J53" s="195">
        <v>0</v>
      </c>
      <c r="K53" s="22">
        <v>0</v>
      </c>
      <c r="L53" s="22">
        <f t="shared" si="132"/>
        <v>0</v>
      </c>
      <c r="M53" s="23" t="str">
        <f>IF(SUMPRODUCT($K$58:L$58,$K53:L53)&lt;0.5, "Pending", IF(L53&lt;0.5, "Complete", "In Progress"))</f>
        <v>Pending</v>
      </c>
      <c r="N53" s="22">
        <v>0</v>
      </c>
      <c r="O53" s="22">
        <f t="shared" si="133"/>
        <v>0</v>
      </c>
      <c r="P53" s="23" t="str">
        <f>IF(SUMPRODUCT($K$58:O$58,$K53:O53)&lt;0.5, "Pending", IF(O53&lt;0.5, "Complete", "In Progress"))</f>
        <v>Pending</v>
      </c>
      <c r="Q53" s="22">
        <v>0</v>
      </c>
      <c r="R53" s="22">
        <f t="shared" si="134"/>
        <v>0</v>
      </c>
      <c r="S53" s="23" t="str">
        <f>IF(SUMPRODUCT($K$58:R$58,$K53:R53)&lt;0.5, "Pending", IF(R53&lt;0.5, "Complete", "In Progress"))</f>
        <v>Pending</v>
      </c>
      <c r="T53" s="22">
        <v>0</v>
      </c>
      <c r="U53" s="22">
        <f t="shared" si="135"/>
        <v>0</v>
      </c>
      <c r="V53" s="23" t="str">
        <f>IF(SUMPRODUCT($K$58:U$58,$K53:U53)&lt;0.5, "Pending", IF(U53&lt;0.5, "Complete", "In Progress"))</f>
        <v>Pending</v>
      </c>
      <c r="W53" s="22">
        <v>0</v>
      </c>
      <c r="X53" s="22">
        <f t="shared" si="136"/>
        <v>0</v>
      </c>
      <c r="Y53" s="23" t="str">
        <f>IF(SUMPRODUCT($K$58:X$58,$K53:X53)&lt;0.5, "Pending", IF(X53&lt;0.5, "Complete", "In Progress"))</f>
        <v>Pending</v>
      </c>
      <c r="Z53" s="22">
        <v>0</v>
      </c>
      <c r="AA53" s="22">
        <f t="shared" si="137"/>
        <v>0</v>
      </c>
      <c r="AB53" s="23" t="str">
        <f>IF(SUMPRODUCT($K$58:AA$58,$K53:AA53)&lt;0.5, "Pending", IF(AA53&lt;0.5, "Complete", "In Progress"))</f>
        <v>Pending</v>
      </c>
      <c r="AC53" s="22">
        <v>0</v>
      </c>
      <c r="AD53" s="22">
        <f t="shared" si="138"/>
        <v>0</v>
      </c>
      <c r="AE53" s="23" t="str">
        <f>IF(SUMPRODUCT($K$58:AD$58,$K53:AD53)&lt;0.5, "Pending", IF(AD53&lt;0.5, "Complete", "In Progress"))</f>
        <v>Pending</v>
      </c>
      <c r="AF53" s="22">
        <v>0</v>
      </c>
      <c r="AG53" s="22">
        <f t="shared" si="139"/>
        <v>0</v>
      </c>
      <c r="AH53" s="23" t="str">
        <f>IF(SUMPRODUCT($K$58:AG$58,$K53:AG53)&lt;0.5, "Pending", IF(AG53&lt;0.5, "Complete", "In Progress"))</f>
        <v>Pending</v>
      </c>
      <c r="AI53" s="22">
        <v>0</v>
      </c>
      <c r="AJ53" s="22">
        <f t="shared" si="140"/>
        <v>0</v>
      </c>
      <c r="AK53" s="23" t="str">
        <f>IF(SUMPRODUCT($K$58:AJ$58,$K53:AJ53)&lt;0.5, "Pending", IF(AJ53&lt;0.5, "Complete", "In Progress"))</f>
        <v>Pending</v>
      </c>
      <c r="AL53" s="22">
        <v>0</v>
      </c>
      <c r="AM53" s="22">
        <f t="shared" si="141"/>
        <v>0</v>
      </c>
      <c r="AN53" s="23" t="str">
        <f>IF(SUMPRODUCT($K$58:AM$58,$K53:AM53)&lt;0.5, "Pending", IF(AM53&lt;0.5, "Complete", "In Progress"))</f>
        <v>Pending</v>
      </c>
      <c r="AO53" s="22">
        <v>0</v>
      </c>
      <c r="AP53" s="22">
        <f t="shared" si="142"/>
        <v>0</v>
      </c>
      <c r="AQ53" s="23" t="str">
        <f>IF(SUMPRODUCT($K$58:AP$58,$K53:AP53)&lt;0.5, "Pending", IF(AP53&lt;0.5, "Complete", "In Progress"))</f>
        <v>Pending</v>
      </c>
      <c r="AR53" s="22">
        <v>0</v>
      </c>
      <c r="AS53" s="22">
        <f t="shared" si="143"/>
        <v>0</v>
      </c>
      <c r="AT53" s="23" t="str">
        <f>IF(SUMPRODUCT($K$58:AS$58,$K53:AS53)&lt;0.5, "Pending", IF(AS53&lt;0.5, "Complete", "In Progress"))</f>
        <v>Pending</v>
      </c>
      <c r="AU53" s="22">
        <v>0</v>
      </c>
      <c r="AV53" s="22">
        <f t="shared" si="144"/>
        <v>0</v>
      </c>
      <c r="AW53" s="23" t="str">
        <f>IF(SUMPRODUCT($K$58:AV$58,$K53:AV53)&lt;0.5, "Pending", IF(AV53&lt;0.5, "Complete", "In Progress"))</f>
        <v>Pending</v>
      </c>
      <c r="AX53" s="22">
        <v>0</v>
      </c>
      <c r="AY53" s="22">
        <f t="shared" si="145"/>
        <v>0</v>
      </c>
      <c r="AZ53" s="23" t="str">
        <f>IF(SUMPRODUCT($K$58:AY$58,$K53:AY53)&lt;0.5, "Pending", IF(AY53&lt;0.5, "Complete", "In Progress"))</f>
        <v>Pending</v>
      </c>
      <c r="BA53" s="22">
        <v>0</v>
      </c>
      <c r="BB53" s="22">
        <f t="shared" si="146"/>
        <v>0</v>
      </c>
      <c r="BC53" s="23" t="str">
        <f>IF(SUMPRODUCT($K$58:BB$58,$K53:BB53)&lt;0.5, "Pending", IF(BB53&lt;0.5, "Complete", "In Progress"))</f>
        <v>Pending</v>
      </c>
      <c r="BD53" s="22">
        <v>0</v>
      </c>
      <c r="BE53" s="22">
        <f t="shared" si="147"/>
        <v>0</v>
      </c>
      <c r="BF53" s="23" t="str">
        <f>IF(SUMPRODUCT($K$58:BE$58,$K53:BE53)&lt;0.5, "Pending", IF(BE53&lt;0.5, "Complete", "In Progress"))</f>
        <v>Pending</v>
      </c>
      <c r="BG53" s="22">
        <v>0</v>
      </c>
      <c r="BH53" s="22">
        <f t="shared" si="148"/>
        <v>0</v>
      </c>
      <c r="BI53" s="23" t="str">
        <f>IF(SUMPRODUCT($K$58:BH$58,$K53:BH53)&lt;0.5, "Pending", IF(BH53&lt;0.5, "Complete", "In Progress"))</f>
        <v>Pending</v>
      </c>
      <c r="BJ53" s="22">
        <v>0</v>
      </c>
      <c r="BK53" s="22">
        <f t="shared" si="149"/>
        <v>0</v>
      </c>
      <c r="BL53" s="23" t="str">
        <f>IF(SUMPRODUCT($K$58:BK$58,$K53:BK53)&lt;0.5, "Pending", IF(BK53&lt;0.5, "Complete", "In Progress"))</f>
        <v>Pending</v>
      </c>
      <c r="BM53" s="22">
        <v>0</v>
      </c>
      <c r="BN53" s="22">
        <f t="shared" si="150"/>
        <v>0</v>
      </c>
      <c r="BO53" s="23" t="str">
        <f>IF(SUMPRODUCT($K$58:BN$58,$K53:BN53)&lt;0.5, "Pending", IF(BN53&lt;0.5, "Complete", "In Progress"))</f>
        <v>Pending</v>
      </c>
      <c r="BP53" s="22">
        <v>0</v>
      </c>
      <c r="BQ53" s="22">
        <f t="shared" si="151"/>
        <v>0</v>
      </c>
      <c r="BR53" s="23" t="str">
        <f>IF(SUMPRODUCT($K$58:BQ$58,$K53:BQ53)&lt;0.5, "Pending", IF(BQ53&lt;0.5, "Complete", "In Progress"))</f>
        <v>Pending</v>
      </c>
      <c r="BS53" s="22">
        <v>0</v>
      </c>
      <c r="BT53" s="22">
        <f t="shared" si="152"/>
        <v>0</v>
      </c>
      <c r="BU53" s="23" t="str">
        <f>IF(SUMPRODUCT($K$58:BT$58,$K53:BT53)&lt;0.5, "Pending", IF(BT53&lt;0.5, "Complete", "In Progress"))</f>
        <v>Pending</v>
      </c>
      <c r="BV53" s="22">
        <v>0</v>
      </c>
      <c r="BW53" s="22">
        <f t="shared" si="153"/>
        <v>0</v>
      </c>
      <c r="BX53" s="23" t="str">
        <f>IF(SUMPRODUCT($K$58:BW$58,$K53:BW53)&lt;0.5, "Pending", IF(BW53&lt;0.5, "Complete", "In Progress"))</f>
        <v>Pending</v>
      </c>
      <c r="BY53" s="22">
        <v>0</v>
      </c>
      <c r="BZ53" s="22">
        <f t="shared" si="154"/>
        <v>0</v>
      </c>
      <c r="CA53" s="23" t="str">
        <f>IF(SUMPRODUCT($K$58:BZ$58,$K53:BZ53)&lt;0.5, "Pending", IF(BZ53&lt;0.5, "Complete", "In Progress"))</f>
        <v>Pending</v>
      </c>
      <c r="CB53" s="22">
        <v>0</v>
      </c>
      <c r="CC53" s="22">
        <f t="shared" si="155"/>
        <v>0</v>
      </c>
      <c r="CD53" s="23" t="str">
        <f>IF(SUMPRODUCT($K$58:CC$58,$K53:CC53)&lt;0.5, "Pending", IF(CC53&lt;0.5, "Complete", "In Progress"))</f>
        <v>Pending</v>
      </c>
      <c r="CE53" s="22">
        <v>0</v>
      </c>
      <c r="CF53" s="22">
        <f t="shared" si="156"/>
        <v>0</v>
      </c>
      <c r="CG53" s="23" t="str">
        <f>IF(SUMPRODUCT($K$58:CF$58,$K53:CF53)&lt;0.5, "Pending", IF(CF53&lt;0.5, "Complete", "In Progress"))</f>
        <v>Pending</v>
      </c>
      <c r="CH53" s="22">
        <v>0</v>
      </c>
      <c r="CI53" s="22">
        <f t="shared" si="157"/>
        <v>0</v>
      </c>
      <c r="CJ53" s="23" t="str">
        <f>IF(SUMPRODUCT($K$58:CI$58,$K53:CI53)&lt;0.5, "Pending", IF(CI53&lt;0.5, "Complete", "In Progress"))</f>
        <v>Pending</v>
      </c>
      <c r="CK53" s="22">
        <v>0</v>
      </c>
      <c r="CL53" s="22">
        <f t="shared" si="158"/>
        <v>0</v>
      </c>
      <c r="CM53" s="23" t="str">
        <f>IF(SUMPRODUCT($K$58:CL$58,$K53:CL53)&lt;0.5, "Pending", IF(CL53&lt;0.5, "Complete", "In Progress"))</f>
        <v>Pending</v>
      </c>
      <c r="CN53" s="22">
        <v>0</v>
      </c>
      <c r="CO53" s="22">
        <f t="shared" si="159"/>
        <v>0</v>
      </c>
      <c r="CP53" s="23" t="str">
        <f>IF(SUMPRODUCT($K$58:CO$58,$K53:CO53)&lt;0.5, "Pending", IF(CO53&lt;0.5, "Complete", "In Progress"))</f>
        <v>Pending</v>
      </c>
      <c r="CQ53" s="22">
        <v>0</v>
      </c>
      <c r="CR53" s="22">
        <f t="shared" si="160"/>
        <v>0</v>
      </c>
      <c r="CS53" s="23" t="str">
        <f>IF(SUMPRODUCT($K$58:CR$58,$K53:CR53)&lt;0.5, "Pending", IF(CR53&lt;0.5, "Complete", "In Progress"))</f>
        <v>Pending</v>
      </c>
      <c r="CT53" s="22">
        <v>0</v>
      </c>
      <c r="CU53" s="22">
        <f t="shared" si="161"/>
        <v>0</v>
      </c>
      <c r="CV53" s="23" t="str">
        <f>IF(SUMPRODUCT($K$58:CU$58,$K53:CU53)&lt;0.5, "Pending", IF(CU53&lt;0.5, "Complete", "In Progress"))</f>
        <v>Pending</v>
      </c>
      <c r="CW53" s="22"/>
      <c r="CX53" s="22"/>
      <c r="CY53" s="23"/>
      <c r="CZ53" s="22"/>
      <c r="DA53" s="22"/>
      <c r="DB53" s="23"/>
      <c r="DC53" s="22"/>
      <c r="DD53" s="22"/>
      <c r="DE53" s="23"/>
      <c r="DF53" s="22"/>
      <c r="DG53" s="22"/>
      <c r="DH53" s="23"/>
      <c r="DI53" s="22"/>
      <c r="DJ53" s="22"/>
      <c r="DK53" s="23"/>
      <c r="DL53" s="22"/>
      <c r="DM53" s="22"/>
      <c r="DN53" s="23"/>
      <c r="DO53" s="22"/>
      <c r="DP53" s="22"/>
      <c r="DQ53" s="23"/>
      <c r="DR53" s="22"/>
      <c r="DS53" s="22"/>
      <c r="DT53" s="23"/>
      <c r="DU53" s="22"/>
      <c r="DV53" s="22"/>
      <c r="DW53" s="23"/>
      <c r="DX53" s="22"/>
      <c r="DY53" s="22"/>
      <c r="DZ53" s="23"/>
      <c r="EA53" s="24"/>
      <c r="EB53" s="25"/>
    </row>
    <row r="54" spans="1:132" ht="12.75" customHeight="1" x14ac:dyDescent="0.25">
      <c r="A54" s="172"/>
      <c r="B54" s="17"/>
      <c r="C54" s="26"/>
      <c r="D54" s="169"/>
      <c r="E54" s="169"/>
      <c r="F54" s="18"/>
      <c r="G54" s="19" t="str">
        <f t="shared" ca="1" si="0"/>
        <v>Pending</v>
      </c>
      <c r="H54" s="21"/>
      <c r="I54" s="21">
        <f t="shared" si="1"/>
        <v>0</v>
      </c>
      <c r="J54" s="195">
        <v>0</v>
      </c>
      <c r="K54" s="22">
        <v>0</v>
      </c>
      <c r="L54" s="22">
        <f t="shared" si="132"/>
        <v>0</v>
      </c>
      <c r="M54" s="23" t="str">
        <f>IF(SUMPRODUCT($K$58:L$58,$K54:L54)&lt;0.5, "Pending", IF(L54&lt;0.5, "Complete", "In Progress"))</f>
        <v>Pending</v>
      </c>
      <c r="N54" s="22">
        <v>0</v>
      </c>
      <c r="O54" s="22">
        <f t="shared" si="133"/>
        <v>0</v>
      </c>
      <c r="P54" s="23" t="str">
        <f>IF(SUMPRODUCT($K$58:O$58,$K54:O54)&lt;0.5, "Pending", IF(O54&lt;0.5, "Complete", "In Progress"))</f>
        <v>Pending</v>
      </c>
      <c r="Q54" s="22">
        <v>0</v>
      </c>
      <c r="R54" s="22">
        <f t="shared" si="134"/>
        <v>0</v>
      </c>
      <c r="S54" s="23" t="str">
        <f>IF(SUMPRODUCT($K$58:R$58,$K54:R54)&lt;0.5, "Pending", IF(R54&lt;0.5, "Complete", "In Progress"))</f>
        <v>Pending</v>
      </c>
      <c r="T54" s="22">
        <v>0</v>
      </c>
      <c r="U54" s="22">
        <f t="shared" si="135"/>
        <v>0</v>
      </c>
      <c r="V54" s="23" t="str">
        <f>IF(SUMPRODUCT($K$58:U$58,$K54:U54)&lt;0.5, "Pending", IF(U54&lt;0.5, "Complete", "In Progress"))</f>
        <v>Pending</v>
      </c>
      <c r="W54" s="22">
        <v>0</v>
      </c>
      <c r="X54" s="22">
        <f t="shared" si="136"/>
        <v>0</v>
      </c>
      <c r="Y54" s="23" t="str">
        <f>IF(SUMPRODUCT($K$58:X$58,$K54:X54)&lt;0.5, "Pending", IF(X54&lt;0.5, "Complete", "In Progress"))</f>
        <v>Pending</v>
      </c>
      <c r="Z54" s="22">
        <v>0</v>
      </c>
      <c r="AA54" s="22">
        <f t="shared" si="137"/>
        <v>0</v>
      </c>
      <c r="AB54" s="23" t="str">
        <f>IF(SUMPRODUCT($K$58:AA$58,$K54:AA54)&lt;0.5, "Pending", IF(AA54&lt;0.5, "Complete", "In Progress"))</f>
        <v>Pending</v>
      </c>
      <c r="AC54" s="22">
        <v>0</v>
      </c>
      <c r="AD54" s="22">
        <f t="shared" si="138"/>
        <v>0</v>
      </c>
      <c r="AE54" s="23" t="str">
        <f>IF(SUMPRODUCT($K$58:AD$58,$K54:AD54)&lt;0.5, "Pending", IF(AD54&lt;0.5, "Complete", "In Progress"))</f>
        <v>Pending</v>
      </c>
      <c r="AF54" s="22">
        <v>0</v>
      </c>
      <c r="AG54" s="22">
        <f t="shared" si="139"/>
        <v>0</v>
      </c>
      <c r="AH54" s="23" t="str">
        <f>IF(SUMPRODUCT($K$58:AG$58,$K54:AG54)&lt;0.5, "Pending", IF(AG54&lt;0.5, "Complete", "In Progress"))</f>
        <v>Pending</v>
      </c>
      <c r="AI54" s="22">
        <v>0</v>
      </c>
      <c r="AJ54" s="22">
        <f t="shared" si="140"/>
        <v>0</v>
      </c>
      <c r="AK54" s="23" t="str">
        <f>IF(SUMPRODUCT($K$58:AJ$58,$K54:AJ54)&lt;0.5, "Pending", IF(AJ54&lt;0.5, "Complete", "In Progress"))</f>
        <v>Pending</v>
      </c>
      <c r="AL54" s="22">
        <v>0</v>
      </c>
      <c r="AM54" s="22">
        <f t="shared" si="141"/>
        <v>0</v>
      </c>
      <c r="AN54" s="23" t="str">
        <f>IF(SUMPRODUCT($K$58:AM$58,$K54:AM54)&lt;0.5, "Pending", IF(AM54&lt;0.5, "Complete", "In Progress"))</f>
        <v>Pending</v>
      </c>
      <c r="AO54" s="22">
        <v>0</v>
      </c>
      <c r="AP54" s="22">
        <f t="shared" si="142"/>
        <v>0</v>
      </c>
      <c r="AQ54" s="23" t="str">
        <f>IF(SUMPRODUCT($K$58:AP$58,$K54:AP54)&lt;0.5, "Pending", IF(AP54&lt;0.5, "Complete", "In Progress"))</f>
        <v>Pending</v>
      </c>
      <c r="AR54" s="22">
        <v>0</v>
      </c>
      <c r="AS54" s="22">
        <f t="shared" si="143"/>
        <v>0</v>
      </c>
      <c r="AT54" s="23" t="str">
        <f>IF(SUMPRODUCT($K$58:AS$58,$K54:AS54)&lt;0.5, "Pending", IF(AS54&lt;0.5, "Complete", "In Progress"))</f>
        <v>Pending</v>
      </c>
      <c r="AU54" s="22">
        <v>0</v>
      </c>
      <c r="AV54" s="22">
        <f t="shared" si="144"/>
        <v>0</v>
      </c>
      <c r="AW54" s="23" t="str">
        <f>IF(SUMPRODUCT($K$58:AV$58,$K54:AV54)&lt;0.5, "Pending", IF(AV54&lt;0.5, "Complete", "In Progress"))</f>
        <v>Pending</v>
      </c>
      <c r="AX54" s="22">
        <v>0</v>
      </c>
      <c r="AY54" s="22">
        <f t="shared" si="145"/>
        <v>0</v>
      </c>
      <c r="AZ54" s="23" t="str">
        <f>IF(SUMPRODUCT($K$58:AY$58,$K54:AY54)&lt;0.5, "Pending", IF(AY54&lt;0.5, "Complete", "In Progress"))</f>
        <v>Pending</v>
      </c>
      <c r="BA54" s="22">
        <v>0</v>
      </c>
      <c r="BB54" s="22">
        <f t="shared" si="146"/>
        <v>0</v>
      </c>
      <c r="BC54" s="23" t="str">
        <f>IF(SUMPRODUCT($K$58:BB$58,$K54:BB54)&lt;0.5, "Pending", IF(BB54&lt;0.5, "Complete", "In Progress"))</f>
        <v>Pending</v>
      </c>
      <c r="BD54" s="22">
        <v>0</v>
      </c>
      <c r="BE54" s="22">
        <f t="shared" si="147"/>
        <v>0</v>
      </c>
      <c r="BF54" s="23" t="str">
        <f>IF(SUMPRODUCT($K$58:BE$58,$K54:BE54)&lt;0.5, "Pending", IF(BE54&lt;0.5, "Complete", "In Progress"))</f>
        <v>Pending</v>
      </c>
      <c r="BG54" s="22">
        <v>0</v>
      </c>
      <c r="BH54" s="22">
        <f t="shared" si="148"/>
        <v>0</v>
      </c>
      <c r="BI54" s="23" t="str">
        <f>IF(SUMPRODUCT($K$58:BH$58,$K54:BH54)&lt;0.5, "Pending", IF(BH54&lt;0.5, "Complete", "In Progress"))</f>
        <v>Pending</v>
      </c>
      <c r="BJ54" s="22">
        <v>0</v>
      </c>
      <c r="BK54" s="22">
        <f t="shared" si="149"/>
        <v>0</v>
      </c>
      <c r="BL54" s="23" t="str">
        <f>IF(SUMPRODUCT($K$58:BK$58,$K54:BK54)&lt;0.5, "Pending", IF(BK54&lt;0.5, "Complete", "In Progress"))</f>
        <v>Pending</v>
      </c>
      <c r="BM54" s="22">
        <v>0</v>
      </c>
      <c r="BN54" s="22">
        <f t="shared" si="150"/>
        <v>0</v>
      </c>
      <c r="BO54" s="23" t="str">
        <f>IF(SUMPRODUCT($K$58:BN$58,$K54:BN54)&lt;0.5, "Pending", IF(BN54&lt;0.5, "Complete", "In Progress"))</f>
        <v>Pending</v>
      </c>
      <c r="BP54" s="22">
        <v>0</v>
      </c>
      <c r="BQ54" s="22">
        <f t="shared" si="151"/>
        <v>0</v>
      </c>
      <c r="BR54" s="23" t="str">
        <f>IF(SUMPRODUCT($K$58:BQ$58,$K54:BQ54)&lt;0.5, "Pending", IF(BQ54&lt;0.5, "Complete", "In Progress"))</f>
        <v>Pending</v>
      </c>
      <c r="BS54" s="22">
        <v>0</v>
      </c>
      <c r="BT54" s="22">
        <f t="shared" si="152"/>
        <v>0</v>
      </c>
      <c r="BU54" s="23" t="str">
        <f>IF(SUMPRODUCT($K$58:BT$58,$K54:BT54)&lt;0.5, "Pending", IF(BT54&lt;0.5, "Complete", "In Progress"))</f>
        <v>Pending</v>
      </c>
      <c r="BV54" s="22">
        <v>0</v>
      </c>
      <c r="BW54" s="22">
        <f t="shared" si="153"/>
        <v>0</v>
      </c>
      <c r="BX54" s="23" t="str">
        <f>IF(SUMPRODUCT($K$58:BW$58,$K54:BW54)&lt;0.5, "Pending", IF(BW54&lt;0.5, "Complete", "In Progress"))</f>
        <v>Pending</v>
      </c>
      <c r="BY54" s="22">
        <v>0</v>
      </c>
      <c r="BZ54" s="22">
        <f t="shared" si="154"/>
        <v>0</v>
      </c>
      <c r="CA54" s="23" t="str">
        <f>IF(SUMPRODUCT($K$58:BZ$58,$K54:BZ54)&lt;0.5, "Pending", IF(BZ54&lt;0.5, "Complete", "In Progress"))</f>
        <v>Pending</v>
      </c>
      <c r="CB54" s="22">
        <v>0</v>
      </c>
      <c r="CC54" s="22">
        <f t="shared" si="155"/>
        <v>0</v>
      </c>
      <c r="CD54" s="23" t="str">
        <f>IF(SUMPRODUCT($K$58:CC$58,$K54:CC54)&lt;0.5, "Pending", IF(CC54&lt;0.5, "Complete", "In Progress"))</f>
        <v>Pending</v>
      </c>
      <c r="CE54" s="22">
        <v>0</v>
      </c>
      <c r="CF54" s="22">
        <f t="shared" si="156"/>
        <v>0</v>
      </c>
      <c r="CG54" s="23" t="str">
        <f>IF(SUMPRODUCT($K$58:CF$58,$K54:CF54)&lt;0.5, "Pending", IF(CF54&lt;0.5, "Complete", "In Progress"))</f>
        <v>Pending</v>
      </c>
      <c r="CH54" s="22">
        <v>0</v>
      </c>
      <c r="CI54" s="22">
        <f t="shared" si="157"/>
        <v>0</v>
      </c>
      <c r="CJ54" s="23" t="str">
        <f>IF(SUMPRODUCT($K$58:CI$58,$K54:CI54)&lt;0.5, "Pending", IF(CI54&lt;0.5, "Complete", "In Progress"))</f>
        <v>Pending</v>
      </c>
      <c r="CK54" s="22">
        <v>0</v>
      </c>
      <c r="CL54" s="22">
        <f t="shared" si="158"/>
        <v>0</v>
      </c>
      <c r="CM54" s="23" t="str">
        <f>IF(SUMPRODUCT($K$58:CL$58,$K54:CL54)&lt;0.5, "Pending", IF(CL54&lt;0.5, "Complete", "In Progress"))</f>
        <v>Pending</v>
      </c>
      <c r="CN54" s="22">
        <v>0</v>
      </c>
      <c r="CO54" s="22">
        <f t="shared" si="159"/>
        <v>0</v>
      </c>
      <c r="CP54" s="23" t="str">
        <f>IF(SUMPRODUCT($K$58:CO$58,$K54:CO54)&lt;0.5, "Pending", IF(CO54&lt;0.5, "Complete", "In Progress"))</f>
        <v>Pending</v>
      </c>
      <c r="CQ54" s="22">
        <v>0</v>
      </c>
      <c r="CR54" s="22">
        <f t="shared" si="160"/>
        <v>0</v>
      </c>
      <c r="CS54" s="23" t="str">
        <f>IF(SUMPRODUCT($K$58:CR$58,$K54:CR54)&lt;0.5, "Pending", IF(CR54&lt;0.5, "Complete", "In Progress"))</f>
        <v>Pending</v>
      </c>
      <c r="CT54" s="22">
        <v>0</v>
      </c>
      <c r="CU54" s="22">
        <f t="shared" si="161"/>
        <v>0</v>
      </c>
      <c r="CV54" s="23" t="str">
        <f>IF(SUMPRODUCT($K$58:CU$58,$K54:CU54)&lt;0.5, "Pending", IF(CU54&lt;0.5, "Complete", "In Progress"))</f>
        <v>Pending</v>
      </c>
      <c r="CW54" s="22"/>
      <c r="CX54" s="22"/>
      <c r="CY54" s="23"/>
      <c r="CZ54" s="22"/>
      <c r="DA54" s="22"/>
      <c r="DB54" s="23"/>
      <c r="DC54" s="22"/>
      <c r="DD54" s="22"/>
      <c r="DE54" s="23"/>
      <c r="DF54" s="22"/>
      <c r="DG54" s="22"/>
      <c r="DH54" s="23"/>
      <c r="DI54" s="22"/>
      <c r="DJ54" s="22"/>
      <c r="DK54" s="23"/>
      <c r="DL54" s="22"/>
      <c r="DM54" s="22"/>
      <c r="DN54" s="23"/>
      <c r="DO54" s="22"/>
      <c r="DP54" s="22"/>
      <c r="DQ54" s="23"/>
      <c r="DR54" s="22"/>
      <c r="DS54" s="22"/>
      <c r="DT54" s="23"/>
      <c r="DU54" s="22"/>
      <c r="DV54" s="22"/>
      <c r="DW54" s="23"/>
      <c r="DX54" s="22"/>
      <c r="DY54" s="22"/>
      <c r="DZ54" s="23"/>
      <c r="EA54" s="24"/>
      <c r="EB54" s="25"/>
    </row>
    <row r="55" spans="1:132" ht="12.75" customHeight="1" x14ac:dyDescent="0.25">
      <c r="A55" s="172"/>
      <c r="B55" s="17"/>
      <c r="C55" s="26"/>
      <c r="D55" s="169"/>
      <c r="E55" s="169"/>
      <c r="F55" s="18"/>
      <c r="G55" s="19" t="str">
        <f t="shared" ca="1" si="0"/>
        <v>Pending</v>
      </c>
      <c r="H55" s="21"/>
      <c r="I55" s="21">
        <f t="shared" si="1"/>
        <v>0</v>
      </c>
      <c r="J55" s="195">
        <v>0</v>
      </c>
      <c r="K55" s="22">
        <v>0</v>
      </c>
      <c r="L55" s="22">
        <f t="shared" si="132"/>
        <v>0</v>
      </c>
      <c r="M55" s="23" t="str">
        <f>IF(SUMPRODUCT($K$58:L$58,$K55:L55)&lt;0.5, "Pending", IF(L55&lt;0.5, "Complete", "In Progress"))</f>
        <v>Pending</v>
      </c>
      <c r="N55" s="22">
        <v>0</v>
      </c>
      <c r="O55" s="22">
        <f t="shared" si="133"/>
        <v>0</v>
      </c>
      <c r="P55" s="23" t="str">
        <f>IF(SUMPRODUCT($K$58:O$58,$K55:O55)&lt;0.5, "Pending", IF(O55&lt;0.5, "Complete", "In Progress"))</f>
        <v>Pending</v>
      </c>
      <c r="Q55" s="22">
        <v>0</v>
      </c>
      <c r="R55" s="22">
        <f t="shared" si="134"/>
        <v>0</v>
      </c>
      <c r="S55" s="23" t="str">
        <f>IF(SUMPRODUCT($K$58:R$58,$K55:R55)&lt;0.5, "Pending", IF(R55&lt;0.5, "Complete", "In Progress"))</f>
        <v>Pending</v>
      </c>
      <c r="T55" s="22">
        <v>0</v>
      </c>
      <c r="U55" s="22">
        <f t="shared" si="135"/>
        <v>0</v>
      </c>
      <c r="V55" s="23" t="str">
        <f>IF(SUMPRODUCT($K$58:U$58,$K55:U55)&lt;0.5, "Pending", IF(U55&lt;0.5, "Complete", "In Progress"))</f>
        <v>Pending</v>
      </c>
      <c r="W55" s="22">
        <v>0</v>
      </c>
      <c r="X55" s="22">
        <f t="shared" si="136"/>
        <v>0</v>
      </c>
      <c r="Y55" s="23" t="str">
        <f>IF(SUMPRODUCT($K$58:X$58,$K55:X55)&lt;0.5, "Pending", IF(X55&lt;0.5, "Complete", "In Progress"))</f>
        <v>Pending</v>
      </c>
      <c r="Z55" s="22">
        <v>0</v>
      </c>
      <c r="AA55" s="22">
        <f t="shared" si="137"/>
        <v>0</v>
      </c>
      <c r="AB55" s="23" t="str">
        <f>IF(SUMPRODUCT($K$58:AA$58,$K55:AA55)&lt;0.5, "Pending", IF(AA55&lt;0.5, "Complete", "In Progress"))</f>
        <v>Pending</v>
      </c>
      <c r="AC55" s="22">
        <v>0</v>
      </c>
      <c r="AD55" s="22">
        <f t="shared" si="138"/>
        <v>0</v>
      </c>
      <c r="AE55" s="23" t="str">
        <f>IF(SUMPRODUCT($K$58:AD$58,$K55:AD55)&lt;0.5, "Pending", IF(AD55&lt;0.5, "Complete", "In Progress"))</f>
        <v>Pending</v>
      </c>
      <c r="AF55" s="22">
        <v>0</v>
      </c>
      <c r="AG55" s="22">
        <f t="shared" si="139"/>
        <v>0</v>
      </c>
      <c r="AH55" s="23" t="str">
        <f>IF(SUMPRODUCT($K$58:AG$58,$K55:AG55)&lt;0.5, "Pending", IF(AG55&lt;0.5, "Complete", "In Progress"))</f>
        <v>Pending</v>
      </c>
      <c r="AI55" s="22">
        <v>0</v>
      </c>
      <c r="AJ55" s="22">
        <f t="shared" si="140"/>
        <v>0</v>
      </c>
      <c r="AK55" s="23" t="str">
        <f>IF(SUMPRODUCT($K$58:AJ$58,$K55:AJ55)&lt;0.5, "Pending", IF(AJ55&lt;0.5, "Complete", "In Progress"))</f>
        <v>Pending</v>
      </c>
      <c r="AL55" s="22">
        <v>0</v>
      </c>
      <c r="AM55" s="22">
        <f t="shared" si="141"/>
        <v>0</v>
      </c>
      <c r="AN55" s="23" t="str">
        <f>IF(SUMPRODUCT($K$58:AM$58,$K55:AM55)&lt;0.5, "Pending", IF(AM55&lt;0.5, "Complete", "In Progress"))</f>
        <v>Pending</v>
      </c>
      <c r="AO55" s="22">
        <v>0</v>
      </c>
      <c r="AP55" s="22">
        <f t="shared" si="142"/>
        <v>0</v>
      </c>
      <c r="AQ55" s="23" t="str">
        <f>IF(SUMPRODUCT($K$58:AP$58,$K55:AP55)&lt;0.5, "Pending", IF(AP55&lt;0.5, "Complete", "In Progress"))</f>
        <v>Pending</v>
      </c>
      <c r="AR55" s="22">
        <v>0</v>
      </c>
      <c r="AS55" s="22">
        <f t="shared" si="143"/>
        <v>0</v>
      </c>
      <c r="AT55" s="23" t="str">
        <f>IF(SUMPRODUCT($K$58:AS$58,$K55:AS55)&lt;0.5, "Pending", IF(AS55&lt;0.5, "Complete", "In Progress"))</f>
        <v>Pending</v>
      </c>
      <c r="AU55" s="22">
        <v>0</v>
      </c>
      <c r="AV55" s="22">
        <f t="shared" si="144"/>
        <v>0</v>
      </c>
      <c r="AW55" s="23" t="str">
        <f>IF(SUMPRODUCT($K$58:AV$58,$K55:AV55)&lt;0.5, "Pending", IF(AV55&lt;0.5, "Complete", "In Progress"))</f>
        <v>Pending</v>
      </c>
      <c r="AX55" s="22">
        <v>0</v>
      </c>
      <c r="AY55" s="22">
        <f t="shared" si="145"/>
        <v>0</v>
      </c>
      <c r="AZ55" s="23" t="str">
        <f>IF(SUMPRODUCT($K$58:AY$58,$K55:AY55)&lt;0.5, "Pending", IF(AY55&lt;0.5, "Complete", "In Progress"))</f>
        <v>Pending</v>
      </c>
      <c r="BA55" s="22">
        <v>0</v>
      </c>
      <c r="BB55" s="22">
        <f t="shared" si="146"/>
        <v>0</v>
      </c>
      <c r="BC55" s="23" t="str">
        <f>IF(SUMPRODUCT($K$58:BB$58,$K55:BB55)&lt;0.5, "Pending", IF(BB55&lt;0.5, "Complete", "In Progress"))</f>
        <v>Pending</v>
      </c>
      <c r="BD55" s="22">
        <v>0</v>
      </c>
      <c r="BE55" s="22">
        <f t="shared" si="147"/>
        <v>0</v>
      </c>
      <c r="BF55" s="23" t="str">
        <f>IF(SUMPRODUCT($K$58:BE$58,$K55:BE55)&lt;0.5, "Pending", IF(BE55&lt;0.5, "Complete", "In Progress"))</f>
        <v>Pending</v>
      </c>
      <c r="BG55" s="22">
        <v>0</v>
      </c>
      <c r="BH55" s="22">
        <f t="shared" si="148"/>
        <v>0</v>
      </c>
      <c r="BI55" s="23" t="str">
        <f>IF(SUMPRODUCT($K$58:BH$58,$K55:BH55)&lt;0.5, "Pending", IF(BH55&lt;0.5, "Complete", "In Progress"))</f>
        <v>Pending</v>
      </c>
      <c r="BJ55" s="22">
        <v>0</v>
      </c>
      <c r="BK55" s="22">
        <f t="shared" si="149"/>
        <v>0</v>
      </c>
      <c r="BL55" s="23" t="str">
        <f>IF(SUMPRODUCT($K$58:BK$58,$K55:BK55)&lt;0.5, "Pending", IF(BK55&lt;0.5, "Complete", "In Progress"))</f>
        <v>Pending</v>
      </c>
      <c r="BM55" s="22">
        <v>0</v>
      </c>
      <c r="BN55" s="22">
        <f t="shared" si="150"/>
        <v>0</v>
      </c>
      <c r="BO55" s="23" t="str">
        <f>IF(SUMPRODUCT($K$58:BN$58,$K55:BN55)&lt;0.5, "Pending", IF(BN55&lt;0.5, "Complete", "In Progress"))</f>
        <v>Pending</v>
      </c>
      <c r="BP55" s="22">
        <v>0</v>
      </c>
      <c r="BQ55" s="22">
        <f t="shared" si="151"/>
        <v>0</v>
      </c>
      <c r="BR55" s="23" t="str">
        <f>IF(SUMPRODUCT($K$58:BQ$58,$K55:BQ55)&lt;0.5, "Pending", IF(BQ55&lt;0.5, "Complete", "In Progress"))</f>
        <v>Pending</v>
      </c>
      <c r="BS55" s="22">
        <v>0</v>
      </c>
      <c r="BT55" s="22">
        <f t="shared" si="152"/>
        <v>0</v>
      </c>
      <c r="BU55" s="23" t="str">
        <f>IF(SUMPRODUCT($K$58:BT$58,$K55:BT55)&lt;0.5, "Pending", IF(BT55&lt;0.5, "Complete", "In Progress"))</f>
        <v>Pending</v>
      </c>
      <c r="BV55" s="22">
        <v>0</v>
      </c>
      <c r="BW55" s="22">
        <f t="shared" si="153"/>
        <v>0</v>
      </c>
      <c r="BX55" s="23" t="str">
        <f>IF(SUMPRODUCT($K$58:BW$58,$K55:BW55)&lt;0.5, "Pending", IF(BW55&lt;0.5, "Complete", "In Progress"))</f>
        <v>Pending</v>
      </c>
      <c r="BY55" s="22">
        <v>0</v>
      </c>
      <c r="BZ55" s="22">
        <f t="shared" si="154"/>
        <v>0</v>
      </c>
      <c r="CA55" s="23" t="str">
        <f>IF(SUMPRODUCT($K$58:BZ$58,$K55:BZ55)&lt;0.5, "Pending", IF(BZ55&lt;0.5, "Complete", "In Progress"))</f>
        <v>Pending</v>
      </c>
      <c r="CB55" s="22">
        <v>0</v>
      </c>
      <c r="CC55" s="22">
        <f t="shared" si="155"/>
        <v>0</v>
      </c>
      <c r="CD55" s="23" t="str">
        <f>IF(SUMPRODUCT($K$58:CC$58,$K55:CC55)&lt;0.5, "Pending", IF(CC55&lt;0.5, "Complete", "In Progress"))</f>
        <v>Pending</v>
      </c>
      <c r="CE55" s="22">
        <v>0</v>
      </c>
      <c r="CF55" s="22">
        <f t="shared" si="156"/>
        <v>0</v>
      </c>
      <c r="CG55" s="23" t="str">
        <f>IF(SUMPRODUCT($K$58:CF$58,$K55:CF55)&lt;0.5, "Pending", IF(CF55&lt;0.5, "Complete", "In Progress"))</f>
        <v>Pending</v>
      </c>
      <c r="CH55" s="22">
        <v>0</v>
      </c>
      <c r="CI55" s="22">
        <f t="shared" si="157"/>
        <v>0</v>
      </c>
      <c r="CJ55" s="23" t="str">
        <f>IF(SUMPRODUCT($K$58:CI$58,$K55:CI55)&lt;0.5, "Pending", IF(CI55&lt;0.5, "Complete", "In Progress"))</f>
        <v>Pending</v>
      </c>
      <c r="CK55" s="22">
        <v>0</v>
      </c>
      <c r="CL55" s="22">
        <f t="shared" si="158"/>
        <v>0</v>
      </c>
      <c r="CM55" s="23" t="str">
        <f>IF(SUMPRODUCT($K$58:CL$58,$K55:CL55)&lt;0.5, "Pending", IF(CL55&lt;0.5, "Complete", "In Progress"))</f>
        <v>Pending</v>
      </c>
      <c r="CN55" s="22">
        <v>0</v>
      </c>
      <c r="CO55" s="22">
        <f t="shared" si="159"/>
        <v>0</v>
      </c>
      <c r="CP55" s="23" t="str">
        <f>IF(SUMPRODUCT($K$58:CO$58,$K55:CO55)&lt;0.5, "Pending", IF(CO55&lt;0.5, "Complete", "In Progress"))</f>
        <v>Pending</v>
      </c>
      <c r="CQ55" s="22">
        <v>0</v>
      </c>
      <c r="CR55" s="22">
        <f t="shared" si="160"/>
        <v>0</v>
      </c>
      <c r="CS55" s="23" t="str">
        <f>IF(SUMPRODUCT($K$58:CR$58,$K55:CR55)&lt;0.5, "Pending", IF(CR55&lt;0.5, "Complete", "In Progress"))</f>
        <v>Pending</v>
      </c>
      <c r="CT55" s="22">
        <v>0</v>
      </c>
      <c r="CU55" s="22">
        <f t="shared" si="161"/>
        <v>0</v>
      </c>
      <c r="CV55" s="23" t="str">
        <f>IF(SUMPRODUCT($K$58:CU$58,$K55:CU55)&lt;0.5, "Pending", IF(CU55&lt;0.5, "Complete", "In Progress"))</f>
        <v>Pending</v>
      </c>
      <c r="CW55" s="22"/>
      <c r="CX55" s="22"/>
      <c r="CY55" s="23"/>
      <c r="CZ55" s="22"/>
      <c r="DA55" s="22"/>
      <c r="DB55" s="23"/>
      <c r="DC55" s="22"/>
      <c r="DD55" s="22"/>
      <c r="DE55" s="23"/>
      <c r="DF55" s="22"/>
      <c r="DG55" s="22"/>
      <c r="DH55" s="23"/>
      <c r="DI55" s="22"/>
      <c r="DJ55" s="22"/>
      <c r="DK55" s="23"/>
      <c r="DL55" s="22"/>
      <c r="DM55" s="22"/>
      <c r="DN55" s="23"/>
      <c r="DO55" s="22"/>
      <c r="DP55" s="22"/>
      <c r="DQ55" s="23"/>
      <c r="DR55" s="22"/>
      <c r="DS55" s="22"/>
      <c r="DT55" s="23"/>
      <c r="DU55" s="22"/>
      <c r="DV55" s="22"/>
      <c r="DW55" s="23"/>
      <c r="DX55" s="22"/>
      <c r="DY55" s="22"/>
      <c r="DZ55" s="23"/>
      <c r="EA55" s="24"/>
      <c r="EB55" s="25"/>
    </row>
    <row r="56" spans="1:132" x14ac:dyDescent="0.25">
      <c r="A56" s="27"/>
      <c r="B56" s="27"/>
      <c r="C56" s="181"/>
      <c r="D56" s="27"/>
      <c r="E56" s="27"/>
      <c r="F56" s="27"/>
      <c r="G56" s="27"/>
      <c r="H56" s="27"/>
      <c r="I56" s="27"/>
      <c r="J56" s="196"/>
      <c r="K56" s="24"/>
      <c r="L56" s="24"/>
      <c r="M56" s="24"/>
      <c r="N56" s="28"/>
      <c r="O56" s="28"/>
      <c r="P56" s="24"/>
      <c r="Q56" s="28"/>
      <c r="R56" s="28"/>
      <c r="S56" s="24"/>
      <c r="T56" s="28"/>
      <c r="U56" s="28"/>
      <c r="V56" s="28"/>
      <c r="W56" s="28"/>
      <c r="X56" s="28"/>
      <c r="Y56" s="24"/>
      <c r="Z56" s="28"/>
      <c r="AA56" s="28"/>
      <c r="AB56" s="24"/>
      <c r="AC56" s="28"/>
      <c r="AD56" s="28"/>
      <c r="AE56" s="24"/>
      <c r="AF56" s="28"/>
      <c r="AG56" s="28"/>
      <c r="AH56" s="24"/>
      <c r="AI56" s="28"/>
      <c r="AJ56" s="28"/>
      <c r="AK56" s="24"/>
      <c r="AL56" s="28"/>
      <c r="AM56" s="28"/>
      <c r="AN56" s="24"/>
      <c r="AO56" s="28"/>
      <c r="AP56" s="28"/>
      <c r="AQ56" s="24"/>
      <c r="AR56" s="28"/>
      <c r="AS56" s="28"/>
      <c r="AT56" s="24"/>
      <c r="AU56" s="28"/>
      <c r="AV56" s="28"/>
      <c r="AW56" s="24"/>
      <c r="AX56" s="28"/>
      <c r="AY56" s="28"/>
      <c r="AZ56" s="24"/>
      <c r="BA56" s="28"/>
      <c r="BB56" s="28"/>
      <c r="BC56" s="24"/>
      <c r="BD56" s="28"/>
      <c r="BE56" s="28"/>
      <c r="BF56" s="24"/>
      <c r="BG56" s="28"/>
      <c r="BH56" s="28"/>
      <c r="BI56" s="24"/>
      <c r="BJ56" s="28"/>
      <c r="BK56" s="28"/>
      <c r="BL56" s="24"/>
      <c r="BM56" s="28"/>
      <c r="BN56" s="28"/>
      <c r="BO56" s="24"/>
      <c r="BP56" s="28"/>
      <c r="BQ56" s="28"/>
      <c r="BR56" s="24"/>
      <c r="BS56" s="28"/>
      <c r="BT56" s="28"/>
      <c r="BU56" s="24"/>
      <c r="BV56" s="28"/>
      <c r="BW56" s="28"/>
      <c r="BX56" s="24"/>
      <c r="BY56" s="28"/>
      <c r="BZ56" s="28"/>
      <c r="CA56" s="24"/>
      <c r="CB56" s="28"/>
      <c r="CC56" s="28"/>
      <c r="CD56" s="24"/>
      <c r="CE56" s="28"/>
      <c r="CF56" s="28"/>
      <c r="CG56" s="24"/>
      <c r="CH56" s="28"/>
      <c r="CI56" s="28"/>
      <c r="CJ56" s="24"/>
      <c r="CK56" s="28"/>
      <c r="CL56" s="28"/>
      <c r="CM56" s="24"/>
      <c r="CN56" s="28"/>
      <c r="CO56" s="28"/>
      <c r="CP56" s="24"/>
      <c r="CQ56" s="28"/>
      <c r="CR56" s="28"/>
      <c r="CS56" s="24"/>
      <c r="CT56" s="28"/>
      <c r="CU56" s="28"/>
      <c r="CV56" s="24"/>
      <c r="CW56" s="28"/>
      <c r="CX56" s="28"/>
      <c r="CY56" s="24"/>
      <c r="CZ56" s="28"/>
      <c r="DA56" s="28"/>
      <c r="DB56" s="24"/>
      <c r="DC56" s="28"/>
      <c r="DD56" s="28"/>
      <c r="DE56" s="24"/>
      <c r="DF56" s="28"/>
      <c r="DG56" s="28"/>
      <c r="DH56" s="24"/>
      <c r="DI56" s="28"/>
      <c r="DJ56" s="28"/>
      <c r="DK56" s="24"/>
      <c r="DL56" s="28"/>
      <c r="DM56" s="28"/>
      <c r="DN56" s="24"/>
      <c r="DO56" s="28"/>
      <c r="DP56" s="28"/>
      <c r="DQ56" s="24"/>
      <c r="DR56" s="28"/>
      <c r="DS56" s="28"/>
      <c r="DT56" s="24"/>
      <c r="DU56" s="28"/>
      <c r="DV56" s="28"/>
      <c r="DW56" s="24"/>
      <c r="DX56" s="28"/>
      <c r="DY56" s="28"/>
      <c r="DZ56" s="24"/>
      <c r="EA56" s="24"/>
      <c r="EB56" s="29">
        <f>SUMPRODUCT($I$59:DH$59,$I56:DH56)</f>
        <v>0</v>
      </c>
    </row>
    <row r="57" spans="1:132" x14ac:dyDescent="0.25">
      <c r="A57" s="1"/>
      <c r="B57" s="1"/>
      <c r="C57" s="180"/>
      <c r="D57" s="1"/>
      <c r="E57" s="1"/>
      <c r="F57" s="1"/>
      <c r="G57" s="1"/>
      <c r="H57" s="1"/>
      <c r="I57" s="1"/>
      <c r="J57" s="193"/>
      <c r="K57" s="245" t="s">
        <v>9</v>
      </c>
      <c r="L57" s="246"/>
      <c r="M57" s="30">
        <v>1</v>
      </c>
      <c r="N57" s="243" t="s">
        <v>9</v>
      </c>
      <c r="O57" s="244"/>
      <c r="P57" s="30">
        <f>M57+1</f>
        <v>2</v>
      </c>
      <c r="Q57" s="243" t="s">
        <v>9</v>
      </c>
      <c r="R57" s="244"/>
      <c r="S57" s="30">
        <f>P57+1</f>
        <v>3</v>
      </c>
      <c r="T57" s="243" t="s">
        <v>9</v>
      </c>
      <c r="U57" s="244"/>
      <c r="V57" s="30">
        <f>S57+1</f>
        <v>4</v>
      </c>
      <c r="W57" s="243" t="s">
        <v>9</v>
      </c>
      <c r="X57" s="244"/>
      <c r="Y57" s="30">
        <f>V57+1</f>
        <v>5</v>
      </c>
      <c r="Z57" s="243" t="s">
        <v>9</v>
      </c>
      <c r="AA57" s="243"/>
      <c r="AB57" s="30">
        <f>Y57+1</f>
        <v>6</v>
      </c>
      <c r="AC57" s="243" t="s">
        <v>9</v>
      </c>
      <c r="AD57" s="243"/>
      <c r="AE57" s="30">
        <f>AB57+1</f>
        <v>7</v>
      </c>
      <c r="AF57" s="243" t="s">
        <v>9</v>
      </c>
      <c r="AG57" s="243"/>
      <c r="AH57" s="30">
        <f>AE57+1</f>
        <v>8</v>
      </c>
      <c r="AI57" s="243" t="s">
        <v>9</v>
      </c>
      <c r="AJ57" s="243"/>
      <c r="AK57" s="30">
        <f>AH57+1</f>
        <v>9</v>
      </c>
      <c r="AL57" s="243" t="s">
        <v>9</v>
      </c>
      <c r="AM57" s="243"/>
      <c r="AN57" s="30">
        <f>AK57+1</f>
        <v>10</v>
      </c>
      <c r="AO57" s="243" t="s">
        <v>9</v>
      </c>
      <c r="AP57" s="243"/>
      <c r="AQ57" s="30">
        <f>AN57+1</f>
        <v>11</v>
      </c>
      <c r="AR57" s="243" t="s">
        <v>9</v>
      </c>
      <c r="AS57" s="243"/>
      <c r="AT57" s="30">
        <f>AQ57+1</f>
        <v>12</v>
      </c>
      <c r="AU57" s="243" t="s">
        <v>9</v>
      </c>
      <c r="AV57" s="243"/>
      <c r="AW57" s="30">
        <f>AT57+1</f>
        <v>13</v>
      </c>
      <c r="AX57" s="243" t="s">
        <v>9</v>
      </c>
      <c r="AY57" s="243"/>
      <c r="AZ57" s="30">
        <f>AW57+1</f>
        <v>14</v>
      </c>
      <c r="BA57" s="243" t="s">
        <v>9</v>
      </c>
      <c r="BB57" s="243"/>
      <c r="BC57" s="30">
        <f>AZ57+1</f>
        <v>15</v>
      </c>
      <c r="BD57" s="243" t="s">
        <v>9</v>
      </c>
      <c r="BE57" s="243"/>
      <c r="BF57" s="30">
        <f>BC57+1</f>
        <v>16</v>
      </c>
      <c r="BG57" s="243" t="s">
        <v>9</v>
      </c>
      <c r="BH57" s="243"/>
      <c r="BI57" s="30">
        <f>BF57+1</f>
        <v>17</v>
      </c>
      <c r="BJ57" s="243" t="s">
        <v>9</v>
      </c>
      <c r="BK57" s="243"/>
      <c r="BL57" s="30">
        <f>BI57+1</f>
        <v>18</v>
      </c>
      <c r="BM57" s="243" t="s">
        <v>9</v>
      </c>
      <c r="BN57" s="243"/>
      <c r="BO57" s="30">
        <f>BL57+1</f>
        <v>19</v>
      </c>
      <c r="BP57" s="243" t="s">
        <v>9</v>
      </c>
      <c r="BQ57" s="243"/>
      <c r="BR57" s="30">
        <f>BO57+1</f>
        <v>20</v>
      </c>
      <c r="BS57" s="243" t="s">
        <v>9</v>
      </c>
      <c r="BT57" s="243"/>
      <c r="BU57" s="30">
        <f>BR57+1</f>
        <v>21</v>
      </c>
      <c r="BV57" s="243" t="s">
        <v>9</v>
      </c>
      <c r="BW57" s="243"/>
      <c r="BX57" s="30">
        <f>BU57+1</f>
        <v>22</v>
      </c>
      <c r="BY57" s="243" t="s">
        <v>9</v>
      </c>
      <c r="BZ57" s="243"/>
      <c r="CA57" s="30">
        <f>BX57+1</f>
        <v>23</v>
      </c>
      <c r="CB57" s="243" t="s">
        <v>9</v>
      </c>
      <c r="CC57" s="243"/>
      <c r="CD57" s="30">
        <f>CA57+1</f>
        <v>24</v>
      </c>
      <c r="CE57" s="243" t="s">
        <v>9</v>
      </c>
      <c r="CF57" s="243"/>
      <c r="CG57" s="30">
        <f>CD57+1</f>
        <v>25</v>
      </c>
      <c r="CH57" s="243" t="s">
        <v>9</v>
      </c>
      <c r="CI57" s="243"/>
      <c r="CJ57" s="30">
        <f>CG57+1</f>
        <v>26</v>
      </c>
      <c r="CK57" s="243" t="s">
        <v>9</v>
      </c>
      <c r="CL57" s="243"/>
      <c r="CM57" s="30">
        <f>CJ57+1</f>
        <v>27</v>
      </c>
      <c r="CN57" s="243" t="s">
        <v>9</v>
      </c>
      <c r="CO57" s="243"/>
      <c r="CP57" s="30">
        <f>CM57+1</f>
        <v>28</v>
      </c>
      <c r="CQ57" s="243" t="s">
        <v>9</v>
      </c>
      <c r="CR57" s="243"/>
      <c r="CS57" s="30">
        <f>CP57+1</f>
        <v>29</v>
      </c>
      <c r="CT57" s="243" t="s">
        <v>9</v>
      </c>
      <c r="CU57" s="243"/>
      <c r="CV57" s="30">
        <f>CS57+1</f>
        <v>30</v>
      </c>
      <c r="CW57" s="243" t="s">
        <v>9</v>
      </c>
      <c r="CX57" s="244"/>
      <c r="CY57" s="30">
        <f>CV57+1</f>
        <v>31</v>
      </c>
      <c r="CZ57" s="243" t="s">
        <v>9</v>
      </c>
      <c r="DA57" s="244"/>
      <c r="DB57" s="30">
        <f>CY57+1</f>
        <v>32</v>
      </c>
      <c r="DC57" s="243" t="s">
        <v>9</v>
      </c>
      <c r="DD57" s="244"/>
      <c r="DE57" s="30">
        <f>DB57+1</f>
        <v>33</v>
      </c>
      <c r="DF57" s="243" t="s">
        <v>9</v>
      </c>
      <c r="DG57" s="244"/>
      <c r="DH57" s="30">
        <f>DE57+1</f>
        <v>34</v>
      </c>
      <c r="DI57" s="243" t="s">
        <v>9</v>
      </c>
      <c r="DJ57" s="244"/>
      <c r="DK57" s="30">
        <f>DH57+1</f>
        <v>35</v>
      </c>
      <c r="DL57" s="243" t="s">
        <v>9</v>
      </c>
      <c r="DM57" s="244"/>
      <c r="DN57" s="30">
        <f>DK57+1</f>
        <v>36</v>
      </c>
      <c r="DO57" s="243" t="s">
        <v>9</v>
      </c>
      <c r="DP57" s="244"/>
      <c r="DQ57" s="30">
        <f>DN57+1</f>
        <v>37</v>
      </c>
      <c r="DR57" s="243" t="s">
        <v>9</v>
      </c>
      <c r="DS57" s="244"/>
      <c r="DT57" s="30">
        <f>DQ57+1</f>
        <v>38</v>
      </c>
      <c r="DU57" s="243" t="s">
        <v>9</v>
      </c>
      <c r="DV57" s="244"/>
      <c r="DW57" s="30">
        <f>DT57+1</f>
        <v>39</v>
      </c>
      <c r="DX57" s="243" t="s">
        <v>9</v>
      </c>
      <c r="DY57" s="244"/>
      <c r="DZ57" s="30">
        <f>DW57+1</f>
        <v>40</v>
      </c>
      <c r="EA57" s="30"/>
      <c r="EB57" s="31"/>
    </row>
    <row r="58" spans="1:132" hidden="1" x14ac:dyDescent="0.25">
      <c r="A58" s="32"/>
      <c r="B58" s="32"/>
      <c r="C58" s="182" t="s">
        <v>11</v>
      </c>
      <c r="D58" s="32"/>
      <c r="E58" s="32"/>
      <c r="F58" s="32"/>
      <c r="G58" s="32"/>
      <c r="H58" s="32"/>
      <c r="I58" s="32"/>
      <c r="J58" s="197"/>
      <c r="K58" s="142">
        <v>1</v>
      </c>
      <c r="L58" s="142">
        <v>0</v>
      </c>
      <c r="M58" s="32">
        <v>0</v>
      </c>
      <c r="N58" s="32">
        <v>1</v>
      </c>
      <c r="O58" s="32">
        <v>0</v>
      </c>
      <c r="P58" s="32">
        <v>0</v>
      </c>
      <c r="Q58" s="32">
        <v>1</v>
      </c>
      <c r="R58" s="32">
        <v>0</v>
      </c>
      <c r="S58" s="32">
        <v>0</v>
      </c>
      <c r="T58" s="32">
        <v>1</v>
      </c>
      <c r="U58" s="32">
        <v>0</v>
      </c>
      <c r="V58" s="32">
        <v>0</v>
      </c>
      <c r="W58" s="32">
        <v>1</v>
      </c>
      <c r="X58" s="32">
        <v>0</v>
      </c>
      <c r="Y58" s="32">
        <v>0</v>
      </c>
      <c r="Z58" s="32">
        <v>1</v>
      </c>
      <c r="AA58" s="32">
        <v>0</v>
      </c>
      <c r="AB58" s="32">
        <v>0</v>
      </c>
      <c r="AC58" s="32">
        <v>1</v>
      </c>
      <c r="AD58" s="32">
        <v>0</v>
      </c>
      <c r="AE58" s="32">
        <v>0</v>
      </c>
      <c r="AF58" s="32">
        <v>1</v>
      </c>
      <c r="AG58" s="32">
        <v>0</v>
      </c>
      <c r="AH58" s="32">
        <v>0</v>
      </c>
      <c r="AI58" s="32">
        <v>1</v>
      </c>
      <c r="AJ58" s="32">
        <v>0</v>
      </c>
      <c r="AK58" s="32">
        <v>0</v>
      </c>
      <c r="AL58" s="32">
        <v>1</v>
      </c>
      <c r="AM58" s="32">
        <v>0</v>
      </c>
      <c r="AN58" s="32">
        <v>0</v>
      </c>
      <c r="AO58" s="32">
        <v>1</v>
      </c>
      <c r="AP58" s="32">
        <v>0</v>
      </c>
      <c r="AQ58" s="32">
        <v>0</v>
      </c>
      <c r="AR58" s="32">
        <v>1</v>
      </c>
      <c r="AS58" s="32">
        <v>0</v>
      </c>
      <c r="AT58" s="32">
        <v>0</v>
      </c>
      <c r="AU58" s="32">
        <v>1</v>
      </c>
      <c r="AV58" s="32">
        <v>0</v>
      </c>
      <c r="AW58" s="32">
        <v>0</v>
      </c>
      <c r="AX58" s="32">
        <v>1</v>
      </c>
      <c r="AY58" s="32">
        <v>0</v>
      </c>
      <c r="AZ58" s="32">
        <v>0</v>
      </c>
      <c r="BA58" s="32">
        <v>1</v>
      </c>
      <c r="BB58" s="32">
        <v>0</v>
      </c>
      <c r="BC58" s="32">
        <v>0</v>
      </c>
      <c r="BD58" s="32">
        <v>1</v>
      </c>
      <c r="BE58" s="32">
        <v>0</v>
      </c>
      <c r="BF58" s="32">
        <v>0</v>
      </c>
      <c r="BG58" s="32">
        <v>1</v>
      </c>
      <c r="BH58" s="32">
        <v>0</v>
      </c>
      <c r="BI58" s="32">
        <v>0</v>
      </c>
      <c r="BJ58" s="32">
        <v>1</v>
      </c>
      <c r="BK58" s="32">
        <v>0</v>
      </c>
      <c r="BL58" s="32">
        <v>0</v>
      </c>
      <c r="BM58" s="32">
        <v>1</v>
      </c>
      <c r="BN58" s="32">
        <v>0</v>
      </c>
      <c r="BO58" s="32">
        <v>0</v>
      </c>
      <c r="BP58" s="32">
        <v>1</v>
      </c>
      <c r="BQ58" s="32">
        <v>0</v>
      </c>
      <c r="BR58" s="32">
        <v>0</v>
      </c>
      <c r="BS58" s="32">
        <v>1</v>
      </c>
      <c r="BT58" s="32">
        <v>0</v>
      </c>
      <c r="BU58" s="32">
        <v>0</v>
      </c>
      <c r="BV58" s="32">
        <v>1</v>
      </c>
      <c r="BW58" s="32">
        <v>0</v>
      </c>
      <c r="BX58" s="32">
        <v>0</v>
      </c>
      <c r="BY58" s="32">
        <v>1</v>
      </c>
      <c r="BZ58" s="32">
        <v>0</v>
      </c>
      <c r="CA58" s="32">
        <v>0</v>
      </c>
      <c r="CB58" s="32">
        <v>1</v>
      </c>
      <c r="CC58" s="32">
        <v>0</v>
      </c>
      <c r="CD58" s="32">
        <v>0</v>
      </c>
      <c r="CE58" s="32">
        <v>1</v>
      </c>
      <c r="CF58" s="32">
        <v>0</v>
      </c>
      <c r="CG58" s="32">
        <v>0</v>
      </c>
      <c r="CH58" s="32">
        <v>1</v>
      </c>
      <c r="CI58" s="32">
        <v>0</v>
      </c>
      <c r="CJ58" s="32">
        <v>0</v>
      </c>
      <c r="CK58" s="32">
        <v>1</v>
      </c>
      <c r="CL58" s="32">
        <v>0</v>
      </c>
      <c r="CM58" s="32">
        <v>0</v>
      </c>
      <c r="CN58" s="32">
        <v>1</v>
      </c>
      <c r="CO58" s="32">
        <v>0</v>
      </c>
      <c r="CP58" s="32">
        <v>0</v>
      </c>
      <c r="CQ58" s="32">
        <v>1</v>
      </c>
      <c r="CR58" s="32">
        <v>0</v>
      </c>
      <c r="CS58" s="32">
        <v>0</v>
      </c>
      <c r="CT58" s="32">
        <v>1</v>
      </c>
      <c r="CU58" s="32">
        <v>0</v>
      </c>
      <c r="CV58" s="32">
        <v>0</v>
      </c>
      <c r="CW58" s="32">
        <v>1</v>
      </c>
      <c r="CX58" s="32">
        <v>0</v>
      </c>
      <c r="CY58" s="32">
        <v>0</v>
      </c>
      <c r="CZ58" s="32">
        <v>1</v>
      </c>
      <c r="DA58" s="32">
        <v>0</v>
      </c>
      <c r="DB58" s="32">
        <v>0</v>
      </c>
      <c r="DC58" s="32">
        <v>1</v>
      </c>
      <c r="DD58" s="32">
        <v>0</v>
      </c>
      <c r="DE58" s="32">
        <v>0</v>
      </c>
      <c r="DF58" s="32">
        <v>1</v>
      </c>
      <c r="DG58" s="32">
        <v>0</v>
      </c>
      <c r="DH58" s="32">
        <v>0</v>
      </c>
      <c r="DI58" s="32">
        <v>1</v>
      </c>
      <c r="DJ58" s="32">
        <v>0</v>
      </c>
      <c r="DK58" s="32">
        <v>0</v>
      </c>
      <c r="DL58" s="32">
        <v>1</v>
      </c>
      <c r="DM58" s="32">
        <v>0</v>
      </c>
      <c r="DN58" s="32">
        <v>0</v>
      </c>
      <c r="DO58" s="32">
        <v>1</v>
      </c>
      <c r="DP58" s="32">
        <v>0</v>
      </c>
      <c r="DQ58" s="32">
        <v>0</v>
      </c>
      <c r="DR58" s="32">
        <v>1</v>
      </c>
      <c r="DS58" s="32">
        <v>0</v>
      </c>
      <c r="DT58" s="32">
        <v>0</v>
      </c>
      <c r="DU58" s="32">
        <v>1</v>
      </c>
      <c r="DV58" s="32">
        <v>0</v>
      </c>
      <c r="DW58" s="32">
        <v>0</v>
      </c>
      <c r="DX58" s="32">
        <v>1</v>
      </c>
      <c r="DY58" s="32">
        <v>0</v>
      </c>
      <c r="DZ58" s="32">
        <v>0</v>
      </c>
      <c r="EA58" s="32"/>
      <c r="EB58" s="33"/>
    </row>
    <row r="59" spans="1:132" hidden="1" x14ac:dyDescent="0.25">
      <c r="A59" s="34"/>
      <c r="B59" s="34"/>
      <c r="C59" s="182" t="s">
        <v>13</v>
      </c>
      <c r="D59" s="32"/>
      <c r="E59" s="32"/>
      <c r="F59" s="32"/>
      <c r="G59" s="32"/>
      <c r="H59" s="32"/>
      <c r="I59" s="32"/>
      <c r="J59" s="197"/>
      <c r="K59" s="24">
        <v>0</v>
      </c>
      <c r="L59" s="142">
        <v>1</v>
      </c>
      <c r="M59" s="32">
        <v>0</v>
      </c>
      <c r="N59" s="35">
        <v>0</v>
      </c>
      <c r="O59" s="32">
        <v>1</v>
      </c>
      <c r="P59" s="32">
        <v>0</v>
      </c>
      <c r="Q59" s="35">
        <v>0</v>
      </c>
      <c r="R59" s="32">
        <v>1</v>
      </c>
      <c r="S59" s="32">
        <v>0</v>
      </c>
      <c r="T59" s="35">
        <v>0</v>
      </c>
      <c r="U59" s="32">
        <v>1</v>
      </c>
      <c r="V59" s="32">
        <v>0</v>
      </c>
      <c r="W59" s="35">
        <v>0</v>
      </c>
      <c r="X59" s="32">
        <v>1</v>
      </c>
      <c r="Y59" s="32">
        <v>0</v>
      </c>
      <c r="Z59" s="35">
        <v>0</v>
      </c>
      <c r="AA59" s="32">
        <v>1</v>
      </c>
      <c r="AB59" s="32">
        <v>0</v>
      </c>
      <c r="AC59" s="35">
        <v>0</v>
      </c>
      <c r="AD59" s="32">
        <v>1</v>
      </c>
      <c r="AE59" s="32">
        <v>0</v>
      </c>
      <c r="AF59" s="35">
        <v>0</v>
      </c>
      <c r="AG59" s="32">
        <v>1</v>
      </c>
      <c r="AH59" s="32">
        <v>0</v>
      </c>
      <c r="AI59" s="35">
        <v>0</v>
      </c>
      <c r="AJ59" s="32">
        <v>1</v>
      </c>
      <c r="AK59" s="32">
        <v>0</v>
      </c>
      <c r="AL59" s="35">
        <v>0</v>
      </c>
      <c r="AM59" s="32">
        <v>1</v>
      </c>
      <c r="AN59" s="32">
        <v>0</v>
      </c>
      <c r="AO59" s="35">
        <v>0</v>
      </c>
      <c r="AP59" s="32">
        <v>1</v>
      </c>
      <c r="AQ59" s="32">
        <v>0</v>
      </c>
      <c r="AR59" s="35">
        <v>0</v>
      </c>
      <c r="AS59" s="32">
        <v>1</v>
      </c>
      <c r="AT59" s="32">
        <v>0</v>
      </c>
      <c r="AU59" s="35">
        <v>0</v>
      </c>
      <c r="AV59" s="32">
        <v>1</v>
      </c>
      <c r="AW59" s="32">
        <v>0</v>
      </c>
      <c r="AX59" s="35">
        <v>0</v>
      </c>
      <c r="AY59" s="32">
        <v>1</v>
      </c>
      <c r="AZ59" s="32">
        <v>0</v>
      </c>
      <c r="BA59" s="35">
        <v>0</v>
      </c>
      <c r="BB59" s="32">
        <v>1</v>
      </c>
      <c r="BC59" s="32">
        <v>0</v>
      </c>
      <c r="BD59" s="35">
        <v>0</v>
      </c>
      <c r="BE59" s="32">
        <v>1</v>
      </c>
      <c r="BF59" s="32">
        <v>0</v>
      </c>
      <c r="BG59" s="35">
        <v>0</v>
      </c>
      <c r="BH59" s="32">
        <v>1</v>
      </c>
      <c r="BI59" s="32">
        <v>0</v>
      </c>
      <c r="BJ59" s="35">
        <v>0</v>
      </c>
      <c r="BK59" s="32">
        <v>1</v>
      </c>
      <c r="BL59" s="32">
        <v>0</v>
      </c>
      <c r="BM59" s="35">
        <v>0</v>
      </c>
      <c r="BN59" s="32">
        <v>1</v>
      </c>
      <c r="BO59" s="32">
        <v>0</v>
      </c>
      <c r="BP59" s="35">
        <v>0</v>
      </c>
      <c r="BQ59" s="32">
        <v>1</v>
      </c>
      <c r="BR59" s="32">
        <v>0</v>
      </c>
      <c r="BS59" s="35">
        <v>0</v>
      </c>
      <c r="BT59" s="32">
        <v>1</v>
      </c>
      <c r="BU59" s="32">
        <v>0</v>
      </c>
      <c r="BV59" s="35">
        <v>0</v>
      </c>
      <c r="BW59" s="32">
        <v>1</v>
      </c>
      <c r="BX59" s="32">
        <v>0</v>
      </c>
      <c r="BY59" s="35">
        <v>0</v>
      </c>
      <c r="BZ59" s="32">
        <v>1</v>
      </c>
      <c r="CA59" s="32">
        <v>0</v>
      </c>
      <c r="CB59" s="35">
        <v>0</v>
      </c>
      <c r="CC59" s="32">
        <v>1</v>
      </c>
      <c r="CD59" s="32">
        <v>0</v>
      </c>
      <c r="CE59" s="35">
        <v>0</v>
      </c>
      <c r="CF59" s="32">
        <v>1</v>
      </c>
      <c r="CG59" s="32">
        <v>0</v>
      </c>
      <c r="CH59" s="35">
        <v>0</v>
      </c>
      <c r="CI59" s="32">
        <v>1</v>
      </c>
      <c r="CJ59" s="32">
        <v>0</v>
      </c>
      <c r="CK59" s="35">
        <v>0</v>
      </c>
      <c r="CL59" s="32">
        <v>1</v>
      </c>
      <c r="CM59" s="32">
        <v>0</v>
      </c>
      <c r="CN59" s="35">
        <v>0</v>
      </c>
      <c r="CO59" s="32">
        <v>1</v>
      </c>
      <c r="CP59" s="32">
        <v>0</v>
      </c>
      <c r="CQ59" s="35">
        <v>0</v>
      </c>
      <c r="CR59" s="32">
        <v>1</v>
      </c>
      <c r="CS59" s="32">
        <v>0</v>
      </c>
      <c r="CT59" s="35">
        <v>0</v>
      </c>
      <c r="CU59" s="32">
        <v>1</v>
      </c>
      <c r="CV59" s="32">
        <v>0</v>
      </c>
      <c r="CW59" s="35">
        <v>0</v>
      </c>
      <c r="CX59" s="32">
        <v>1</v>
      </c>
      <c r="CY59" s="32">
        <v>0</v>
      </c>
      <c r="CZ59" s="35">
        <v>0</v>
      </c>
      <c r="DA59" s="32">
        <v>1</v>
      </c>
      <c r="DB59" s="32">
        <v>0</v>
      </c>
      <c r="DC59" s="35">
        <v>0</v>
      </c>
      <c r="DD59" s="32">
        <v>1</v>
      </c>
      <c r="DE59" s="32">
        <v>0</v>
      </c>
      <c r="DF59" s="35">
        <v>0</v>
      </c>
      <c r="DG59" s="32">
        <v>1</v>
      </c>
      <c r="DH59" s="32">
        <v>0</v>
      </c>
      <c r="DI59" s="35">
        <v>0</v>
      </c>
      <c r="DJ59" s="32">
        <v>1</v>
      </c>
      <c r="DK59" s="32">
        <v>0</v>
      </c>
      <c r="DL59" s="35">
        <v>0</v>
      </c>
      <c r="DM59" s="32">
        <v>1</v>
      </c>
      <c r="DN59" s="32">
        <v>0</v>
      </c>
      <c r="DO59" s="35">
        <v>0</v>
      </c>
      <c r="DP59" s="32">
        <v>1</v>
      </c>
      <c r="DQ59" s="32">
        <v>0</v>
      </c>
      <c r="DR59" s="35">
        <v>0</v>
      </c>
      <c r="DS59" s="32">
        <v>1</v>
      </c>
      <c r="DT59" s="32">
        <v>0</v>
      </c>
      <c r="DU59" s="35">
        <v>0</v>
      </c>
      <c r="DV59" s="32">
        <v>1</v>
      </c>
      <c r="DW59" s="32">
        <v>0</v>
      </c>
      <c r="DX59" s="35">
        <v>0</v>
      </c>
      <c r="DY59" s="32">
        <v>1</v>
      </c>
      <c r="DZ59" s="32">
        <v>0</v>
      </c>
      <c r="EA59" s="32"/>
    </row>
    <row r="60" spans="1:132" hidden="1" x14ac:dyDescent="0.25">
      <c r="A60" s="32"/>
      <c r="B60" s="32"/>
      <c r="C60" s="183" t="s">
        <v>14</v>
      </c>
      <c r="D60" s="36"/>
      <c r="E60" s="36"/>
      <c r="F60" s="32"/>
      <c r="G60" s="32"/>
      <c r="H60" s="32"/>
      <c r="I60" s="32"/>
      <c r="J60" s="197"/>
      <c r="K60" s="24">
        <v>0</v>
      </c>
      <c r="L60" s="142">
        <v>0</v>
      </c>
      <c r="M60" s="32">
        <v>1</v>
      </c>
      <c r="N60" s="35">
        <v>0</v>
      </c>
      <c r="O60" s="32">
        <v>0</v>
      </c>
      <c r="P60" s="32">
        <v>1</v>
      </c>
      <c r="Q60" s="35">
        <v>0</v>
      </c>
      <c r="R60" s="32">
        <v>0</v>
      </c>
      <c r="S60" s="32">
        <v>1</v>
      </c>
      <c r="T60" s="35">
        <v>0</v>
      </c>
      <c r="U60" s="32">
        <v>0</v>
      </c>
      <c r="V60" s="32">
        <v>1</v>
      </c>
      <c r="W60" s="35">
        <v>0</v>
      </c>
      <c r="X60" s="32">
        <v>0</v>
      </c>
      <c r="Y60" s="32">
        <v>1</v>
      </c>
      <c r="Z60" s="35">
        <v>0</v>
      </c>
      <c r="AA60" s="32">
        <v>0</v>
      </c>
      <c r="AB60" s="32">
        <v>1</v>
      </c>
      <c r="AC60" s="35">
        <v>0</v>
      </c>
      <c r="AD60" s="32">
        <v>0</v>
      </c>
      <c r="AE60" s="32">
        <v>1</v>
      </c>
      <c r="AF60" s="35">
        <v>0</v>
      </c>
      <c r="AG60" s="32">
        <v>0</v>
      </c>
      <c r="AH60" s="32">
        <v>1</v>
      </c>
      <c r="AI60" s="35">
        <v>0</v>
      </c>
      <c r="AJ60" s="32">
        <v>0</v>
      </c>
      <c r="AK60" s="32">
        <v>1</v>
      </c>
      <c r="AL60" s="35">
        <v>0</v>
      </c>
      <c r="AM60" s="32">
        <v>0</v>
      </c>
      <c r="AN60" s="32">
        <v>1</v>
      </c>
      <c r="AO60" s="35">
        <v>0</v>
      </c>
      <c r="AP60" s="32">
        <v>0</v>
      </c>
      <c r="AQ60" s="32">
        <v>1</v>
      </c>
      <c r="AR60" s="35">
        <v>0</v>
      </c>
      <c r="AS60" s="32">
        <v>0</v>
      </c>
      <c r="AT60" s="32">
        <v>1</v>
      </c>
      <c r="AU60" s="35">
        <v>0</v>
      </c>
      <c r="AV60" s="32">
        <v>0</v>
      </c>
      <c r="AW60" s="32">
        <v>1</v>
      </c>
      <c r="AX60" s="35">
        <v>0</v>
      </c>
      <c r="AY60" s="32">
        <v>0</v>
      </c>
      <c r="AZ60" s="32">
        <v>1</v>
      </c>
      <c r="BA60" s="35">
        <v>0</v>
      </c>
      <c r="BB60" s="32">
        <v>0</v>
      </c>
      <c r="BC60" s="32">
        <v>1</v>
      </c>
      <c r="BD60" s="35">
        <v>0</v>
      </c>
      <c r="BE60" s="32">
        <v>0</v>
      </c>
      <c r="BF60" s="32">
        <v>1</v>
      </c>
      <c r="BG60" s="35">
        <v>0</v>
      </c>
      <c r="BH60" s="32">
        <v>0</v>
      </c>
      <c r="BI60" s="32">
        <v>1</v>
      </c>
      <c r="BJ60" s="35">
        <v>0</v>
      </c>
      <c r="BK60" s="32">
        <v>0</v>
      </c>
      <c r="BL60" s="32">
        <v>1</v>
      </c>
      <c r="BM60" s="35">
        <v>0</v>
      </c>
      <c r="BN60" s="32">
        <v>0</v>
      </c>
      <c r="BO60" s="32">
        <v>1</v>
      </c>
      <c r="BP60" s="35">
        <v>0</v>
      </c>
      <c r="BQ60" s="32">
        <v>0</v>
      </c>
      <c r="BR60" s="32">
        <v>1</v>
      </c>
      <c r="BS60" s="35">
        <v>0</v>
      </c>
      <c r="BT60" s="32">
        <v>0</v>
      </c>
      <c r="BU60" s="32">
        <v>1</v>
      </c>
      <c r="BV60" s="35">
        <v>0</v>
      </c>
      <c r="BW60" s="32">
        <v>0</v>
      </c>
      <c r="BX60" s="32">
        <v>1</v>
      </c>
      <c r="BY60" s="35">
        <v>0</v>
      </c>
      <c r="BZ60" s="32">
        <v>0</v>
      </c>
      <c r="CA60" s="32">
        <v>1</v>
      </c>
      <c r="CB60" s="35">
        <v>0</v>
      </c>
      <c r="CC60" s="32">
        <v>0</v>
      </c>
      <c r="CD60" s="32">
        <v>1</v>
      </c>
      <c r="CE60" s="35">
        <v>0</v>
      </c>
      <c r="CF60" s="32">
        <v>0</v>
      </c>
      <c r="CG60" s="32">
        <v>1</v>
      </c>
      <c r="CH60" s="35">
        <v>0</v>
      </c>
      <c r="CI60" s="32">
        <v>0</v>
      </c>
      <c r="CJ60" s="32">
        <v>1</v>
      </c>
      <c r="CK60" s="35">
        <v>0</v>
      </c>
      <c r="CL60" s="32">
        <v>0</v>
      </c>
      <c r="CM60" s="32">
        <v>1</v>
      </c>
      <c r="CN60" s="35">
        <v>0</v>
      </c>
      <c r="CO60" s="32">
        <v>0</v>
      </c>
      <c r="CP60" s="32">
        <v>1</v>
      </c>
      <c r="CQ60" s="35">
        <v>0</v>
      </c>
      <c r="CR60" s="32">
        <v>0</v>
      </c>
      <c r="CS60" s="32">
        <v>1</v>
      </c>
      <c r="CT60" s="35">
        <v>0</v>
      </c>
      <c r="CU60" s="32">
        <v>0</v>
      </c>
      <c r="CV60" s="32">
        <v>1</v>
      </c>
      <c r="CW60" s="35">
        <v>0</v>
      </c>
      <c r="CX60" s="32">
        <v>0</v>
      </c>
      <c r="CY60" s="32">
        <v>1</v>
      </c>
      <c r="CZ60" s="35">
        <v>0</v>
      </c>
      <c r="DA60" s="32">
        <v>0</v>
      </c>
      <c r="DB60" s="32">
        <v>1</v>
      </c>
      <c r="DC60" s="35">
        <v>0</v>
      </c>
      <c r="DD60" s="32">
        <v>0</v>
      </c>
      <c r="DE60" s="32">
        <v>1</v>
      </c>
      <c r="DF60" s="35">
        <v>0</v>
      </c>
      <c r="DG60" s="32">
        <v>0</v>
      </c>
      <c r="DH60" s="32">
        <v>1</v>
      </c>
      <c r="DI60" s="35">
        <v>0</v>
      </c>
      <c r="DJ60" s="32">
        <v>0</v>
      </c>
      <c r="DK60" s="32">
        <v>1</v>
      </c>
      <c r="DL60" s="35">
        <v>0</v>
      </c>
      <c r="DM60" s="32">
        <v>0</v>
      </c>
      <c r="DN60" s="32">
        <v>1</v>
      </c>
      <c r="DO60" s="35">
        <v>0</v>
      </c>
      <c r="DP60" s="32">
        <v>0</v>
      </c>
      <c r="DQ60" s="32">
        <v>1</v>
      </c>
      <c r="DR60" s="35">
        <v>0</v>
      </c>
      <c r="DS60" s="32">
        <v>0</v>
      </c>
      <c r="DT60" s="32">
        <v>1</v>
      </c>
      <c r="DU60" s="35">
        <v>0</v>
      </c>
      <c r="DV60" s="32">
        <v>0</v>
      </c>
      <c r="DW60" s="32">
        <v>1</v>
      </c>
      <c r="DX60" s="35">
        <v>0</v>
      </c>
      <c r="DY60" s="32">
        <v>0</v>
      </c>
      <c r="DZ60" s="32">
        <v>1</v>
      </c>
      <c r="EA60" s="32"/>
    </row>
    <row r="61" spans="1:132" x14ac:dyDescent="0.25">
      <c r="A61" s="37">
        <v>300</v>
      </c>
      <c r="B61" s="37" t="s">
        <v>108</v>
      </c>
      <c r="C61" s="184" t="s">
        <v>104</v>
      </c>
      <c r="D61" s="38"/>
      <c r="E61" s="38"/>
      <c r="F61" s="38"/>
      <c r="G61" s="38"/>
      <c r="H61" s="8"/>
      <c r="I61" s="38"/>
      <c r="J61" s="198">
        <f>SUBTOTAL(109,J$4:J$56)</f>
        <v>7</v>
      </c>
      <c r="K61" s="143">
        <f>SUBTOTAL(109,K$4:K$56)</f>
        <v>1</v>
      </c>
      <c r="L61" s="143">
        <f>SUBTOTAL(109,L$4:L$48)</f>
        <v>6</v>
      </c>
      <c r="M61" s="8"/>
      <c r="N61" s="8">
        <f>SUBTOTAL(109,N$4:N$56)</f>
        <v>0</v>
      </c>
      <c r="O61" s="8">
        <f>SUBTOTAL(109,O$4:O$48)</f>
        <v>6</v>
      </c>
      <c r="P61" s="8"/>
      <c r="Q61" s="8">
        <f>SUBTOTAL(109,Q$4:Q$56)</f>
        <v>0</v>
      </c>
      <c r="R61" s="8">
        <f>SUBTOTAL(109,R$4:R$48)</f>
        <v>6</v>
      </c>
      <c r="S61" s="8"/>
      <c r="T61" s="8">
        <f>SUBTOTAL(109,T$4:T$56)</f>
        <v>0</v>
      </c>
      <c r="U61" s="8">
        <f>SUBTOTAL(109,U$4:U$48)</f>
        <v>6</v>
      </c>
      <c r="V61" s="8"/>
      <c r="W61" s="8">
        <f>SUBTOTAL(109,W$4:W$56)</f>
        <v>0</v>
      </c>
      <c r="X61" s="8">
        <f>SUBTOTAL(109,X$4:X$48)</f>
        <v>6</v>
      </c>
      <c r="Y61" s="8"/>
      <c r="Z61" s="8">
        <f>SUBTOTAL(109,Z$4:Z$56)</f>
        <v>0</v>
      </c>
      <c r="AA61" s="8">
        <f>SUBTOTAL(109,AA$4:AA$48)</f>
        <v>6</v>
      </c>
      <c r="AB61" s="8"/>
      <c r="AC61" s="8">
        <f>SUBTOTAL(109,AC$4:AC$56)</f>
        <v>0</v>
      </c>
      <c r="AD61" s="8">
        <f>SUBTOTAL(109,AD$4:AD$48)</f>
        <v>6</v>
      </c>
      <c r="AE61" s="8"/>
      <c r="AF61" s="8">
        <f>SUBTOTAL(109,AF$4:AF$56)</f>
        <v>0</v>
      </c>
      <c r="AG61" s="8">
        <f>SUBTOTAL(109,AG$4:AG$48)</f>
        <v>6</v>
      </c>
      <c r="AH61" s="8"/>
      <c r="AI61" s="8">
        <f>SUBTOTAL(109,AI$4:AI$56)</f>
        <v>0</v>
      </c>
      <c r="AJ61" s="8">
        <f>SUBTOTAL(109,AJ$4:AJ$48)</f>
        <v>6</v>
      </c>
      <c r="AK61" s="8"/>
      <c r="AL61" s="8">
        <f>SUBTOTAL(109,AL$4:AL$56)</f>
        <v>0</v>
      </c>
      <c r="AM61" s="8">
        <f>SUBTOTAL(109,AM$4:AM$48)</f>
        <v>6</v>
      </c>
      <c r="AN61" s="8"/>
      <c r="AO61" s="8">
        <f>SUBTOTAL(109,AO$4:AO$56)</f>
        <v>0</v>
      </c>
      <c r="AP61" s="8">
        <f>SUBTOTAL(109,AP$4:AP$48)</f>
        <v>6</v>
      </c>
      <c r="AQ61" s="8"/>
      <c r="AR61" s="8">
        <f>SUBTOTAL(109,AR$4:AR$56)</f>
        <v>0</v>
      </c>
      <c r="AS61" s="8">
        <f>SUBTOTAL(109,AS$4:AS$48)</f>
        <v>6</v>
      </c>
      <c r="AT61" s="8"/>
      <c r="AU61" s="8">
        <f>SUBTOTAL(109,AU$4:AU$56)</f>
        <v>0</v>
      </c>
      <c r="AV61" s="8">
        <f>SUBTOTAL(109,AV$4:AV$48)</f>
        <v>6</v>
      </c>
      <c r="AW61" s="8"/>
      <c r="AX61" s="8">
        <f>SUBTOTAL(109,AX$4:AX$56)</f>
        <v>0</v>
      </c>
      <c r="AY61" s="8">
        <f>SUBTOTAL(109,AY$4:AY$48)</f>
        <v>6</v>
      </c>
      <c r="AZ61" s="8"/>
      <c r="BA61" s="8">
        <f>SUBTOTAL(109,BA$4:BA$56)</f>
        <v>0</v>
      </c>
      <c r="BB61" s="8">
        <f>SUBTOTAL(109,BB$4:BB$48)</f>
        <v>6</v>
      </c>
      <c r="BC61" s="8"/>
      <c r="BD61" s="8">
        <f>SUBTOTAL(109,BD$4:BD$56)</f>
        <v>0</v>
      </c>
      <c r="BE61" s="8">
        <f>SUBTOTAL(109,BE$4:BE$48)</f>
        <v>6</v>
      </c>
      <c r="BF61" s="8"/>
      <c r="BG61" s="8">
        <f>SUBTOTAL(109,BG$4:BG$56)</f>
        <v>0</v>
      </c>
      <c r="BH61" s="8">
        <f>SUBTOTAL(109,BH$4:BH$48)</f>
        <v>6</v>
      </c>
      <c r="BI61" s="8"/>
      <c r="BJ61" s="8">
        <f>SUBTOTAL(109,BJ$4:BJ$56)</f>
        <v>0</v>
      </c>
      <c r="BK61" s="8">
        <f>SUBTOTAL(109,BK$4:BK$48)</f>
        <v>6</v>
      </c>
      <c r="BL61" s="8"/>
      <c r="BM61" s="8">
        <f>SUBTOTAL(109,BM$4:BM$56)</f>
        <v>0</v>
      </c>
      <c r="BN61" s="8">
        <f>SUBTOTAL(109,BN$4:BN$48)</f>
        <v>6</v>
      </c>
      <c r="BO61" s="8"/>
      <c r="BP61" s="8">
        <f>SUBTOTAL(109,BP$4:BP$56)</f>
        <v>0</v>
      </c>
      <c r="BQ61" s="8">
        <f>SUBTOTAL(109,BQ$4:BQ$48)</f>
        <v>6</v>
      </c>
      <c r="BR61" s="8"/>
      <c r="BS61" s="8">
        <f>SUBTOTAL(109,BS$4:BS$56)</f>
        <v>0</v>
      </c>
      <c r="BT61" s="8">
        <f>SUBTOTAL(109,BT$4:BT$48)</f>
        <v>6</v>
      </c>
      <c r="BU61" s="8"/>
      <c r="BV61" s="8">
        <f>SUBTOTAL(109,BV$4:BV$56)</f>
        <v>0</v>
      </c>
      <c r="BW61" s="8">
        <f>SUBTOTAL(109,BW$4:BW$48)</f>
        <v>6</v>
      </c>
      <c r="BX61" s="8"/>
      <c r="BY61" s="8">
        <f>SUBTOTAL(109,BY$4:BY$56)</f>
        <v>0</v>
      </c>
      <c r="BZ61" s="8">
        <f>SUBTOTAL(109,BZ$4:BZ$48)</f>
        <v>6</v>
      </c>
      <c r="CA61" s="8"/>
      <c r="CB61" s="8">
        <f>SUBTOTAL(109,CB$4:CB$56)</f>
        <v>0</v>
      </c>
      <c r="CC61" s="8">
        <f>SUBTOTAL(109,CC$4:CC$48)</f>
        <v>6</v>
      </c>
      <c r="CD61" s="8"/>
      <c r="CE61" s="8">
        <f>SUBTOTAL(109,CE$4:CE$56)</f>
        <v>0</v>
      </c>
      <c r="CF61" s="8">
        <f>SUBTOTAL(109,CF$4:CF$48)</f>
        <v>6</v>
      </c>
      <c r="CG61" s="8"/>
      <c r="CH61" s="8">
        <f>SUBTOTAL(109,CH$4:CH$56)</f>
        <v>0</v>
      </c>
      <c r="CI61" s="8">
        <f>SUBTOTAL(109,CI$4:CI$48)</f>
        <v>6</v>
      </c>
      <c r="CJ61" s="8"/>
      <c r="CK61" s="8">
        <f>SUBTOTAL(109,CK$4:CK$56)</f>
        <v>0</v>
      </c>
      <c r="CL61" s="8">
        <f>SUBTOTAL(109,CL$4:CL$48)</f>
        <v>6</v>
      </c>
      <c r="CM61" s="8"/>
      <c r="CN61" s="8">
        <f>SUBTOTAL(109,CN$4:CN$56)</f>
        <v>0</v>
      </c>
      <c r="CO61" s="8">
        <f>SUBTOTAL(109,CO$4:CO$48)</f>
        <v>6</v>
      </c>
      <c r="CP61" s="8"/>
      <c r="CQ61" s="8">
        <f>SUBTOTAL(109,CQ$4:CQ$56)</f>
        <v>0</v>
      </c>
      <c r="CR61" s="8">
        <f>SUBTOTAL(109,CR$4:CR$48)</f>
        <v>6</v>
      </c>
      <c r="CS61" s="8"/>
      <c r="CT61" s="8">
        <f>SUBTOTAL(109,CT$4:CT$56)</f>
        <v>0</v>
      </c>
      <c r="CU61" s="8">
        <f>SUBTOTAL(109,CU$4:CU$48)</f>
        <v>6</v>
      </c>
      <c r="CV61" s="8"/>
      <c r="CW61" s="8">
        <f t="shared" ref="CW61:DZ61" si="162">SUBTOTAL(109,CW$4:CW$48)</f>
        <v>0</v>
      </c>
      <c r="CX61" s="8">
        <f t="shared" si="162"/>
        <v>6</v>
      </c>
      <c r="CY61" s="8">
        <f t="shared" si="162"/>
        <v>0</v>
      </c>
      <c r="CZ61" s="8">
        <f t="shared" si="162"/>
        <v>0</v>
      </c>
      <c r="DA61" s="8">
        <f t="shared" si="162"/>
        <v>6</v>
      </c>
      <c r="DB61" s="8">
        <f t="shared" si="162"/>
        <v>0</v>
      </c>
      <c r="DC61" s="8">
        <f t="shared" si="162"/>
        <v>0</v>
      </c>
      <c r="DD61" s="8">
        <f t="shared" si="162"/>
        <v>6</v>
      </c>
      <c r="DE61" s="8">
        <f t="shared" si="162"/>
        <v>0</v>
      </c>
      <c r="DF61" s="8">
        <f t="shared" si="162"/>
        <v>0</v>
      </c>
      <c r="DG61" s="8">
        <f t="shared" si="162"/>
        <v>6</v>
      </c>
      <c r="DH61" s="8">
        <f t="shared" si="162"/>
        <v>0</v>
      </c>
      <c r="DI61" s="8">
        <f t="shared" si="162"/>
        <v>0</v>
      </c>
      <c r="DJ61" s="8">
        <f t="shared" si="162"/>
        <v>6</v>
      </c>
      <c r="DK61" s="8">
        <f t="shared" si="162"/>
        <v>0</v>
      </c>
      <c r="DL61" s="8">
        <f t="shared" si="162"/>
        <v>0</v>
      </c>
      <c r="DM61" s="8">
        <f t="shared" si="162"/>
        <v>6</v>
      </c>
      <c r="DN61" s="8">
        <f t="shared" si="162"/>
        <v>0</v>
      </c>
      <c r="DO61" s="8">
        <f t="shared" si="162"/>
        <v>0</v>
      </c>
      <c r="DP61" s="8">
        <f t="shared" si="162"/>
        <v>6</v>
      </c>
      <c r="DQ61" s="8">
        <f t="shared" si="162"/>
        <v>0</v>
      </c>
      <c r="DR61" s="8">
        <f t="shared" si="162"/>
        <v>0</v>
      </c>
      <c r="DS61" s="8">
        <f t="shared" si="162"/>
        <v>6</v>
      </c>
      <c r="DT61" s="8">
        <f t="shared" si="162"/>
        <v>0</v>
      </c>
      <c r="DU61" s="8">
        <f t="shared" si="162"/>
        <v>0</v>
      </c>
      <c r="DV61" s="8">
        <f t="shared" si="162"/>
        <v>6</v>
      </c>
      <c r="DW61" s="8">
        <f t="shared" si="162"/>
        <v>0</v>
      </c>
      <c r="DX61" s="8">
        <f t="shared" si="162"/>
        <v>0</v>
      </c>
      <c r="DY61" s="8">
        <f t="shared" si="162"/>
        <v>6</v>
      </c>
      <c r="DZ61" s="8">
        <f t="shared" si="162"/>
        <v>0</v>
      </c>
      <c r="EA61" s="38"/>
      <c r="EB61" s="38"/>
    </row>
  </sheetData>
  <autoFilter ref="A3:EB55" xr:uid="{00000000-0009-0000-0000-000001000000}"/>
  <mergeCells count="80">
    <mergeCell ref="CH1:CJ1"/>
    <mergeCell ref="CH57:CI57"/>
    <mergeCell ref="BV1:BX1"/>
    <mergeCell ref="BV57:BW57"/>
    <mergeCell ref="BY1:CA1"/>
    <mergeCell ref="BY57:BZ57"/>
    <mergeCell ref="CB1:CD1"/>
    <mergeCell ref="CB57:CC57"/>
    <mergeCell ref="CE57:CF57"/>
    <mergeCell ref="CE1:CG1"/>
    <mergeCell ref="AL1:AN1"/>
    <mergeCell ref="AO1:AQ1"/>
    <mergeCell ref="Q1:S1"/>
    <mergeCell ref="T1:V1"/>
    <mergeCell ref="AI1:AK1"/>
    <mergeCell ref="W1:Y1"/>
    <mergeCell ref="BS1:BU1"/>
    <mergeCell ref="BG1:BI1"/>
    <mergeCell ref="AU1:AW1"/>
    <mergeCell ref="AX1:AZ1"/>
    <mergeCell ref="BJ1:BL1"/>
    <mergeCell ref="BM1:BO1"/>
    <mergeCell ref="BA1:BC1"/>
    <mergeCell ref="BD1:BF1"/>
    <mergeCell ref="BP1:BR1"/>
    <mergeCell ref="AR1:AT1"/>
    <mergeCell ref="K57:L57"/>
    <mergeCell ref="N57:O57"/>
    <mergeCell ref="Q57:R57"/>
    <mergeCell ref="T57:U57"/>
    <mergeCell ref="AI57:AJ57"/>
    <mergeCell ref="W57:X57"/>
    <mergeCell ref="K1:M1"/>
    <mergeCell ref="N1:P1"/>
    <mergeCell ref="AR57:AS57"/>
    <mergeCell ref="Z57:AA57"/>
    <mergeCell ref="AF1:AH1"/>
    <mergeCell ref="AC1:AE1"/>
    <mergeCell ref="Z1:AB1"/>
    <mergeCell ref="AL57:AM57"/>
    <mergeCell ref="AO57:AP57"/>
    <mergeCell ref="BS57:BT57"/>
    <mergeCell ref="BG57:BH57"/>
    <mergeCell ref="AU57:AV57"/>
    <mergeCell ref="AX57:AY57"/>
    <mergeCell ref="BJ57:BK57"/>
    <mergeCell ref="BM57:BN57"/>
    <mergeCell ref="BA57:BB57"/>
    <mergeCell ref="BD57:BE57"/>
    <mergeCell ref="BP57:BQ57"/>
    <mergeCell ref="DX1:DZ1"/>
    <mergeCell ref="DX57:DY57"/>
    <mergeCell ref="AF57:AG57"/>
    <mergeCell ref="AC57:AD57"/>
    <mergeCell ref="DL1:DN1"/>
    <mergeCell ref="DL57:DM57"/>
    <mergeCell ref="DO1:DQ1"/>
    <mergeCell ref="DO57:DP57"/>
    <mergeCell ref="DR1:DT1"/>
    <mergeCell ref="DR57:DS57"/>
    <mergeCell ref="CW1:CY1"/>
    <mergeCell ref="CW57:CX57"/>
    <mergeCell ref="CZ1:DB1"/>
    <mergeCell ref="CZ57:DA57"/>
    <mergeCell ref="DI1:DK1"/>
    <mergeCell ref="DI57:DJ57"/>
    <mergeCell ref="CK1:CM1"/>
    <mergeCell ref="CK57:CL57"/>
    <mergeCell ref="DU1:DW1"/>
    <mergeCell ref="DU57:DV57"/>
    <mergeCell ref="CN1:CP1"/>
    <mergeCell ref="CN57:CO57"/>
    <mergeCell ref="CQ57:CR57"/>
    <mergeCell ref="CQ1:CS1"/>
    <mergeCell ref="CT1:CV1"/>
    <mergeCell ref="CT57:CU57"/>
    <mergeCell ref="DF1:DH1"/>
    <mergeCell ref="DF57:DG57"/>
    <mergeCell ref="DC1:DE1"/>
    <mergeCell ref="DC57:DD57"/>
  </mergeCells>
  <phoneticPr fontId="2" type="noConversion"/>
  <conditionalFormatting sqref="K1:DZ1">
    <cfRule type="expression" dxfId="94" priority="85" stopIfTrue="1">
      <formula>K$1=TODAY()+DailyScrumDateModifier</formula>
    </cfRule>
    <cfRule type="expression" dxfId="93" priority="85" stopIfTrue="1">
      <formula>K$1=TODAY()</formula>
    </cfRule>
  </conditionalFormatting>
  <conditionalFormatting sqref="J61">
    <cfRule type="cellIs" dxfId="92" priority="90" stopIfTrue="1" operator="lessThan">
      <formula>A61*0.75</formula>
    </cfRule>
    <cfRule type="cellIs" dxfId="91" priority="90" stopIfTrue="1" operator="between">
      <formula>A61*0.75</formula>
      <formula>#REF!</formula>
    </cfRule>
    <cfRule type="cellIs" dxfId="90" priority="90" stopIfTrue="1" operator="greaterThan">
      <formula>A61</formula>
    </cfRule>
  </conditionalFormatting>
  <conditionalFormatting sqref="K2:K3 DX2:DX3 DO2:DO3 DR2:DR3 CW2:CW3 CZ2:CZ3 DC2:DC3 DF2:DF3 DI2:DI3 DL2:DL3 DU2:DU3 N2:N3 Q2:Q3 T2:T3 W2:W3 Z2:Z3 AC2:AC3 AF2:AF3 AI2:AI3 AL2:AL3 AO2:AO3 AR2:AR3 AU2:AU3 AX2:AX3 BA2:BA3 BD2:BD3 BG2:BG3 BJ2:BJ3 BM2:BM3 BP2:BP3 BS2:BS3 BV2:BV3 BY2:BY3 CB2:CB3 CE2:CE3 CH2:CH3 CK2:CK3 CN2:CN3 CQ2:CQ3 CT2:CT3">
    <cfRule type="expression" dxfId="89" priority="82" stopIfTrue="1">
      <formula>K$1=TODAY()+DailyScrumDateModifier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DY2:DY3 O2:O3">
    <cfRule type="expression" dxfId="88" priority="83" stopIfTrue="1">
      <formula>K$1=TODAY()+DailyScrumDateModifier</formula>
    </cfRule>
  </conditionalFormatting>
  <conditionalFormatting sqref="M2:M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DZ2:DZ3 P2:P3">
    <cfRule type="expression" dxfId="87" priority="84" stopIfTrue="1">
      <formula>K$1=TODAY()+DailyScrumDateModifier</formula>
    </cfRule>
  </conditionalFormatting>
  <conditionalFormatting sqref="K62:L63 N62:O63">
    <cfRule type="expression" dxfId="86" priority="87" stopIfTrue="1">
      <formula>"I1=TODAY()"</formula>
    </cfRule>
  </conditionalFormatting>
  <conditionalFormatting sqref="G57">
    <cfRule type="cellIs" dxfId="85" priority="88" stopIfTrue="1" operator="equal">
      <formula>"Complete"</formula>
    </cfRule>
    <cfRule type="cellIs" dxfId="84" priority="88" stopIfTrue="1" operator="equal">
      <formula>"In Progress"</formula>
    </cfRule>
  </conditionalFormatting>
  <conditionalFormatting sqref="CZ47:CZ55 DC47:DC55 DF47:DF55 DI47:DI55 DL47:DL55 DO47:DO55 DR47:DR55 DU47:DU55 DX47:DX55 CW47:CW55 CT47:CT55 K47:K55 CH47:CH55 T47:T55 W47:W55 Z47:Z55 AC47:AC55 AF47:AF55 AI47:AI55 AL47:AL55 AO47:AO55 AR47:AR55 AU47:AU55 AX47:AX55 BA47:BA55 BD47:BD55 BG47:BG55 BJ47:BJ55 BM47:BM55 BP47:BP55 BS47:BS55 BV47:BV55 BY47:BY55 CB47:CB55 CE47:CE55 Q47:Q55 CK47:CK55 CN47:CN55 CQ47:CQ55 N47:N55 CW4:CW42 CZ4:CZ42 DC4:DC42 DF4:DF42 DI4:DI42 DL4:DL42 DO4:DO42 DR4:DR42 DU4:DU42 DX4:DX42 Q4:Q42 N4:N42 CK4:CK42 W4:W42 Z4:Z42 AC4:AC42 AF4:AF42 AI4:AI42 AL4:AL42 AO4:AO42 AR4:AR42 AU4:AU42 AX4:AX42 BA4:BA42 BD4:BD42 BG4:BG42 BJ4:BJ42 BM4:BM42 BP4:BP42 BS4:BS42 BV4:BV42 BY4:BY42 CB4:CB42 CE4:CE42 CH4:CH42 T4:T42 CN4:CN42 CQ4:CQ42 CT4:CT42 K4:K42">
    <cfRule type="expression" dxfId="83" priority="93" stopIfTrue="1">
      <formula>K$1=TODAY()+DailyScrumDateModifier</formula>
    </cfRule>
    <cfRule type="expression" dxfId="82" priority="93" stopIfTrue="1">
      <formula>MOD(ROW(),2)</formula>
    </cfRule>
  </conditionalFormatting>
  <conditionalFormatting sqref="DA47:DA55 DD47:DD55 DG47:DG55 DJ47:DJ55 DM47:DM55 DP47:DP55 DS47:DS55 DV47:DV55 DY47:DY55 CX47:CX55 BW47:BW55 R47:R55 CL47:CL55 X47:X55 AA47:AA55 AD47:AD55 AG47:AG55 AJ47:AJ55 AM47:AM55 AP47:AP55 AS47:AS55 AV47:AV55 AY47:AY55 BB47:BB55 BE47:BE55 BH47:BH55 BK47:BK55 BN47:BN55 BQ47:BQ55 BT47:BT55 O47:O55 BZ47:BZ55 CC47:CC55 CF47:CF55 CI47:CI55 U47:U55 CO47:CO55 CR47:CR55 CU47:CU55 L47:L55 L4:L42 CX4:CX42 DA4:DA42 DD4:DD42 DG4:DG42 DJ4:DJ42 DM4:DM42 DP4:DP42 DS4:DS42 DV4:DV42 DY4:DY42 BW4:BW42 R4:R42 CL4:CL42 X4:X42 AA4:AA42 AD4:AD42 AG4:AG42 AJ4:AJ42 AM4:AM42 AP4:AP42 AS4:AS42 AV4:AV42 AY4:AY42 BB4:BB42 BE4:BE42 BH4:BH42 BK4:BK42 BN4:BN42 BQ4:BQ42 BT4:BT42 O4:O42 BZ4:BZ42 CC4:CC42 CF4:CF42 CI4:CI42 U4:U42 CO4:CO42 CR4:CR42 CU4:CU42">
    <cfRule type="expression" dxfId="81" priority="95" stopIfTrue="1">
      <formula>K$1=TODAY()+DailyScrumDateModifier</formula>
    </cfRule>
    <cfRule type="expression" dxfId="80" priority="95" stopIfTrue="1">
      <formula>MOD(ROW(),2)</formula>
    </cfRule>
  </conditionalFormatting>
  <conditionalFormatting sqref="C47:D55 D42:D43 D45 C4:E4 H4:J55 D10:D33 A4:B55 E5:E55 EB4:EB56 C10:C40 C5:D9">
    <cfRule type="expression" dxfId="79" priority="97" stopIfTrue="1">
      <formula>MOD(ROW(),2)</formula>
    </cfRule>
  </conditionalFormatting>
  <conditionalFormatting sqref="M4:M55 DZ4:DZ55 DW4:DW55 DT4:DT55 DQ4:DQ55 DN4:DN55 DK4:DK55 DH4:DH55 DE4:DE55 DB4:DB55 CY4:CY55 Y4:Y55 V4:V55 S4:S55 P4:P55 CV4:CV55 CS4:CS55 CP4:CP55 CM4:CM55 CJ4:CJ55 CG4:CG55 CD4:CD55 CA4:CA55 BX4:BX55 BU4:BU55 BR4:BR55 BO4:BO55 BL4:BL55 BI4:BI55 BF4:BF55 BC4:BC55 AZ4:AZ55 AW4:AW55 AT4:AT55 AQ4:AQ55 AN4:AN55 AK4:AK55 AH4:AH55 AE4:AE55 AB4:AB55">
    <cfRule type="cellIs" dxfId="78" priority="98" stopIfTrue="1" operator="equal">
      <formula>"Pending"</formula>
    </cfRule>
    <cfRule type="cellIs" dxfId="77" priority="98" stopIfTrue="1" operator="equal">
      <formula>"In Progress"</formula>
    </cfRule>
    <cfRule type="cellIs" dxfId="76" priority="98" stopIfTrue="1" operator="equal">
      <formula>"Complete"</formula>
    </cfRule>
  </conditionalFormatting>
  <conditionalFormatting sqref="G4:G55">
    <cfRule type="cellIs" dxfId="75" priority="101" stopIfTrue="1" operator="equal">
      <formula>"Complete"</formula>
    </cfRule>
    <cfRule type="cellIs" dxfId="74" priority="101" stopIfTrue="1" operator="equal">
      <formula>"In Progress"</formula>
    </cfRule>
    <cfRule type="cellIs" dxfId="73" priority="101" stopIfTrue="1" operator="equal">
      <formula>"Pending"</formula>
    </cfRule>
  </conditionalFormatting>
  <conditionalFormatting sqref="CT43:CT44 CQ43:CQ44 CN43:CN44 T43:T44 CH43:CH44 CE43:CE44 CB43:CB44 BY43:BY44 BV43:BV44 BS43:BS44 BP43:BP44 BM43:BM44 BJ43:BJ44 BG43:BG44 BD43:BD44 BA43:BA44 AX43:AX44 AU43:AU44 AR43:AR44 AO43:AO44 AL43:AL44 AI43:AI44 AF43:AF44 AC43:AC44 Z43:Z44 W43:W44 CK43:CK44 N43:N44 Q43:Q44 DX43:DX44 DU43:DU44 DR43:DR44 DO43:DO44 DL43:DL44 DI43:DI44 DF43:DF44 DC43:DC44 CZ43:CZ44 CW43:CW44 K43:K44">
    <cfRule type="expression" dxfId="72" priority="79" stopIfTrue="1">
      <formula>K$1=TODAY()+DailyScrumDateModifier</formula>
    </cfRule>
    <cfRule type="expression" dxfId="71" priority="80" stopIfTrue="1">
      <formula>MOD(ROW(),2)</formula>
    </cfRule>
  </conditionalFormatting>
  <conditionalFormatting sqref="CU43:CU44 CR43:CR44 CO43:CO44 U43:U44 CI43:CI44 CF43:CF44 CC43:CC44 BZ43:BZ44 O43:O44 BT43:BT44 BQ43:BQ44 BN43:BN44 BK43:BK44 BH43:BH44 BE43:BE44 BB43:BB44 AY43:AY44 AV43:AV44 AS43:AS44 AP43:AP44 AM43:AM44 AJ43:AJ44 AG43:AG44 AD43:AD44 AA43:AA44 X43:X44 CL43:CL44 R43:R44 BW43:BW44 DY43:DY44 DV43:DV44 DS43:DS44 DP43:DP44 DM43:DM44 DJ43:DJ44 DG43:DG44 DD43:DD44 DA43:DA44 CX43:CX44 L43:L44">
    <cfRule type="expression" dxfId="70" priority="77" stopIfTrue="1">
      <formula>K$1=TODAY()+DailyScrumDateModifier</formula>
    </cfRule>
    <cfRule type="expression" dxfId="69" priority="78" stopIfTrue="1">
      <formula>MOD(ROW(),2)</formula>
    </cfRule>
  </conditionalFormatting>
  <conditionalFormatting sqref="CT45:CT46 CQ45:CQ46 CN45:CN46 T45:T46 CH45:CH46 CE45:CE46 CB45:CB46 BY45:BY46 BV45:BV46 BS45:BS46 BP45:BP46 BM45:BM46 BJ45:BJ46 BG45:BG46 BD45:BD46 BA45:BA46 AX45:AX46 AU45:AU46 AR45:AR46 AO45:AO46 AL45:AL46 AI45:AI46 AF45:AF46 AC45:AC46 Z45:Z46 W45:W46 CK45:CK46 N45:N46 Q45:Q46 DX45:DX46 DU45:DU46 DR45:DR46 DO45:DO46 DL45:DL46 DI45:DI46 DF45:DF46 DC45:DC46 CZ45:CZ46 CW45:CW46 K45:K46">
    <cfRule type="expression" dxfId="68" priority="62" stopIfTrue="1">
      <formula>K$1=TODAY()+DailyScrumDateModifier</formula>
    </cfRule>
    <cfRule type="expression" dxfId="67" priority="63" stopIfTrue="1">
      <formula>MOD(ROW(),2)</formula>
    </cfRule>
  </conditionalFormatting>
  <conditionalFormatting sqref="CU45:CU46 CR45:CR46 CO45:CO46 U45:U46 CI45:CI46 CF45:CF46 CC45:CC46 BZ45:BZ46 O45:O46 BT45:BT46 BQ45:BQ46 BN45:BN46 BK45:BK46 BH45:BH46 BE45:BE46 BB45:BB46 AY45:AY46 AV45:AV46 AS45:AS46 AP45:AP46 AM45:AM46 AJ45:AJ46 AG45:AG46 AD45:AD46 AA45:AA46 X45:X46 CL45:CL46 R45:R46 BW45:BW46 DY45:DY46 DV45:DV46 DS45:DS46 DP45:DP46 DM45:DM46 DJ45:DJ46 DG45:DG46 DD45:DD46 DA45:DA46 CX45:CX46 L45:L46">
    <cfRule type="expression" dxfId="66" priority="60" stopIfTrue="1">
      <formula>K$1=TODAY()+DailyScrumDateModifier</formula>
    </cfRule>
    <cfRule type="expression" dxfId="65" priority="61" stopIfTrue="1">
      <formula>MOD(ROW(),2)</formula>
    </cfRule>
  </conditionalFormatting>
  <conditionalFormatting sqref="H61">
    <cfRule type="cellIs" dxfId="64" priority="44" stopIfTrue="1" operator="lessThan">
      <formula>XFC61*0.75</formula>
    </cfRule>
    <cfRule type="cellIs" dxfId="63" priority="45" stopIfTrue="1" operator="between">
      <formula>XFC61*0.75</formula>
      <formula>#REF!</formula>
    </cfRule>
    <cfRule type="cellIs" dxfId="62" priority="46" stopIfTrue="1" operator="greaterThan">
      <formula>XFC61</formula>
    </cfRule>
  </conditionalFormatting>
  <conditionalFormatting sqref="D34">
    <cfRule type="expression" dxfId="61" priority="17" stopIfTrue="1">
      <formula>MOD(ROW(),2)</formula>
    </cfRule>
  </conditionalFormatting>
  <conditionalFormatting sqref="D35">
    <cfRule type="expression" dxfId="60" priority="16" stopIfTrue="1">
      <formula>MOD(ROW(),2)</formula>
    </cfRule>
  </conditionalFormatting>
  <conditionalFormatting sqref="D36">
    <cfRule type="expression" dxfId="59" priority="15" stopIfTrue="1">
      <formula>MOD(ROW(),2)</formula>
    </cfRule>
  </conditionalFormatting>
  <conditionalFormatting sqref="D37">
    <cfRule type="expression" dxfId="58" priority="14" stopIfTrue="1">
      <formula>MOD(ROW(),2)</formula>
    </cfRule>
  </conditionalFormatting>
  <conditionalFormatting sqref="D38">
    <cfRule type="expression" dxfId="57" priority="13" stopIfTrue="1">
      <formula>MOD(ROW(),2)</formula>
    </cfRule>
  </conditionalFormatting>
  <conditionalFormatting sqref="D39">
    <cfRule type="expression" dxfId="56" priority="12" stopIfTrue="1">
      <formula>MOD(ROW(),2)</formula>
    </cfRule>
  </conditionalFormatting>
  <conditionalFormatting sqref="C41">
    <cfRule type="expression" dxfId="55" priority="11" stopIfTrue="1">
      <formula>MOD(ROW(),2)</formula>
    </cfRule>
  </conditionalFormatting>
  <conditionalFormatting sqref="C42">
    <cfRule type="expression" dxfId="54" priority="10" stopIfTrue="1">
      <formula>MOD(ROW(),2)</formula>
    </cfRule>
  </conditionalFormatting>
  <conditionalFormatting sqref="C43">
    <cfRule type="expression" dxfId="53" priority="9" stopIfTrue="1">
      <formula>MOD(ROW(),2)</formula>
    </cfRule>
  </conditionalFormatting>
  <conditionalFormatting sqref="C44">
    <cfRule type="expression" dxfId="52" priority="8" stopIfTrue="1">
      <formula>MOD(ROW(),2)</formula>
    </cfRule>
  </conditionalFormatting>
  <conditionalFormatting sqref="C45">
    <cfRule type="expression" dxfId="51" priority="7" stopIfTrue="1">
      <formula>MOD(ROW(),2)</formula>
    </cfRule>
  </conditionalFormatting>
  <conditionalFormatting sqref="C46">
    <cfRule type="expression" dxfId="50" priority="6" stopIfTrue="1">
      <formula>MOD(ROW(),2)</formula>
    </cfRule>
  </conditionalFormatting>
  <conditionalFormatting sqref="D40">
    <cfRule type="expression" dxfId="49" priority="5" stopIfTrue="1">
      <formula>MOD(ROW(),2)</formula>
    </cfRule>
  </conditionalFormatting>
  <conditionalFormatting sqref="D41">
    <cfRule type="expression" dxfId="48" priority="4" stopIfTrue="1">
      <formula>MOD(ROW(),2)</formula>
    </cfRule>
  </conditionalFormatting>
  <conditionalFormatting sqref="D44">
    <cfRule type="expression" dxfId="47" priority="3" stopIfTrue="1">
      <formula>MOD(ROW(),2)</formula>
    </cfRule>
  </conditionalFormatting>
  <conditionalFormatting sqref="D46">
    <cfRule type="expression" dxfId="46" priority="2" stopIfTrue="1">
      <formula>MOD(ROW(),2)</formula>
    </cfRule>
  </conditionalFormatting>
  <dataValidations count="1">
    <dataValidation type="list" allowBlank="1" showInputMessage="1" showErrorMessage="1" sqref="F4:F55" xr:uid="{00000000-0002-0000-0100-000000000000}">
      <formula1>Members</formula1>
    </dataValidation>
  </dataValidations>
  <hyperlinks>
    <hyperlink ref="A3" r:id="rId1" xr:uid="{00000000-0004-0000-0100-000000000000}"/>
  </hyperlinks>
  <pageMargins left="0.74803149606299213" right="0.74803149606299213" top="0.98425196850393704" bottom="0.98425196850393704" header="0.51181102362204722" footer="0.51181102362204722"/>
  <pageSetup scale="29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6274" r:id="rId5" name="BtnInsertNewLineAtEnd">
          <controlPr defaultSize="0" autoLine="0" autoPict="0" r:id="rId6">
            <anchor moveWithCells="1">
              <from>
                <xdr:col>2</xdr:col>
                <xdr:colOff>1174750</xdr:colOff>
                <xdr:row>1</xdr:row>
                <xdr:rowOff>12700</xdr:rowOff>
              </from>
              <to>
                <xdr:col>2</xdr:col>
                <xdr:colOff>2413000</xdr:colOff>
                <xdr:row>2</xdr:row>
                <xdr:rowOff>114300</xdr:rowOff>
              </to>
            </anchor>
          </controlPr>
        </control>
      </mc:Choice>
      <mc:Fallback>
        <control shapeId="6274" r:id="rId5" name="BtnInsertNewLineAtEnd"/>
      </mc:Fallback>
    </mc:AlternateContent>
    <mc:AlternateContent xmlns:mc="http://schemas.openxmlformats.org/markup-compatibility/2006">
      <mc:Choice Requires="x14">
        <control shapeId="6275" r:id="rId7" name="BtnInsertNewLine">
          <controlPr defaultSize="0" autoLine="0" autoPict="0" r:id="rId8">
            <anchor moveWithCells="1">
              <from>
                <xdr:col>2</xdr:col>
                <xdr:colOff>38100</xdr:colOff>
                <xdr:row>1</xdr:row>
                <xdr:rowOff>12700</xdr:rowOff>
              </from>
              <to>
                <xdr:col>2</xdr:col>
                <xdr:colOff>1098550</xdr:colOff>
                <xdr:row>2</xdr:row>
                <xdr:rowOff>114300</xdr:rowOff>
              </to>
            </anchor>
          </controlPr>
        </control>
      </mc:Choice>
      <mc:Fallback>
        <control shapeId="6275" r:id="rId7" name="BtnInsertNewLin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51"/>
  <sheetViews>
    <sheetView topLeftCell="A10" zoomScaleNormal="100" workbookViewId="0">
      <selection activeCell="E22" sqref="E22"/>
    </sheetView>
  </sheetViews>
  <sheetFormatPr baseColWidth="10" defaultColWidth="9.1796875" defaultRowHeight="12.5" x14ac:dyDescent="0.25"/>
  <cols>
    <col min="1" max="1" width="9.1796875" style="6"/>
    <col min="2" max="2" width="9.453125" style="6" customWidth="1"/>
    <col min="3" max="4" width="9.1796875" style="6"/>
    <col min="5" max="28" width="9.26953125" style="6" bestFit="1" customWidth="1"/>
    <col min="29" max="29" width="9.7265625" style="6" customWidth="1"/>
    <col min="30" max="34" width="9.26953125" style="6" bestFit="1" customWidth="1"/>
    <col min="35" max="16384" width="9.1796875" style="6"/>
  </cols>
  <sheetData>
    <row r="1" spans="1:1" x14ac:dyDescent="0.25">
      <c r="A1" s="129"/>
    </row>
    <row r="19" spans="1:44" x14ac:dyDescent="0.25">
      <c r="A19" s="130" t="str">
        <f>IF(SkipWeekends, "Working Day", "Calendar Day")</f>
        <v>Calendar Day</v>
      </c>
      <c r="B19" s="131"/>
      <c r="C19" s="132"/>
      <c r="D19" s="132"/>
      <c r="E19" s="132">
        <v>1</v>
      </c>
      <c r="F19" s="132">
        <v>2</v>
      </c>
      <c r="G19" s="132">
        <v>3</v>
      </c>
      <c r="H19" s="132">
        <v>4</v>
      </c>
      <c r="I19" s="132">
        <v>5</v>
      </c>
      <c r="J19" s="132">
        <v>6</v>
      </c>
      <c r="K19" s="132">
        <v>7</v>
      </c>
      <c r="L19" s="132">
        <v>8</v>
      </c>
      <c r="M19" s="132">
        <v>9</v>
      </c>
      <c r="N19" s="132">
        <v>10</v>
      </c>
      <c r="O19" s="132">
        <v>11</v>
      </c>
      <c r="P19" s="132">
        <v>12</v>
      </c>
      <c r="Q19" s="132">
        <v>13</v>
      </c>
      <c r="R19" s="132">
        <v>14</v>
      </c>
      <c r="S19" s="132">
        <v>15</v>
      </c>
      <c r="T19" s="132">
        <v>16</v>
      </c>
      <c r="U19" s="132">
        <v>17</v>
      </c>
      <c r="V19" s="132">
        <v>18</v>
      </c>
      <c r="W19" s="132">
        <v>19</v>
      </c>
      <c r="X19" s="132">
        <v>20</v>
      </c>
      <c r="Y19" s="132">
        <v>21</v>
      </c>
      <c r="Z19" s="132">
        <v>22</v>
      </c>
      <c r="AA19" s="132">
        <v>23</v>
      </c>
      <c r="AB19" s="132">
        <v>24</v>
      </c>
      <c r="AC19" s="132">
        <v>25</v>
      </c>
      <c r="AD19" s="132">
        <v>26</v>
      </c>
      <c r="AE19" s="132">
        <v>27</v>
      </c>
      <c r="AF19" s="132">
        <v>28</v>
      </c>
      <c r="AG19" s="132">
        <v>29</v>
      </c>
      <c r="AH19" s="132">
        <v>30</v>
      </c>
      <c r="AI19" s="133">
        <v>31</v>
      </c>
      <c r="AJ19" s="133">
        <v>32</v>
      </c>
      <c r="AK19" s="133">
        <v>33</v>
      </c>
      <c r="AL19" s="133">
        <v>34</v>
      </c>
      <c r="AM19" s="133">
        <v>35</v>
      </c>
      <c r="AN19" s="133">
        <v>36</v>
      </c>
      <c r="AO19" s="133">
        <v>37</v>
      </c>
      <c r="AP19" s="133">
        <v>38</v>
      </c>
      <c r="AQ19" s="133">
        <v>39</v>
      </c>
      <c r="AR19" s="133">
        <v>40</v>
      </c>
    </row>
    <row r="20" spans="1:44" x14ac:dyDescent="0.25">
      <c r="A20" s="130" t="s">
        <v>21</v>
      </c>
      <c r="B20" s="131"/>
      <c r="C20" s="132"/>
      <c r="D20" s="132"/>
      <c r="E20" s="134">
        <f t="shared" ref="E20:AR20" si="0">INDEX(SprintDates,1,(E19-1)*BurndownColumns+1)</f>
        <v>45763</v>
      </c>
      <c r="F20" s="134">
        <f t="shared" si="0"/>
        <v>45764</v>
      </c>
      <c r="G20" s="134">
        <f t="shared" si="0"/>
        <v>45765</v>
      </c>
      <c r="H20" s="134">
        <f t="shared" si="0"/>
        <v>45766</v>
      </c>
      <c r="I20" s="134">
        <f t="shared" si="0"/>
        <v>45767</v>
      </c>
      <c r="J20" s="134">
        <f t="shared" si="0"/>
        <v>45768</v>
      </c>
      <c r="K20" s="134">
        <f t="shared" si="0"/>
        <v>45769</v>
      </c>
      <c r="L20" s="134">
        <f t="shared" si="0"/>
        <v>45770</v>
      </c>
      <c r="M20" s="134">
        <f t="shared" si="0"/>
        <v>45771</v>
      </c>
      <c r="N20" s="134">
        <f t="shared" si="0"/>
        <v>45772</v>
      </c>
      <c r="O20" s="134">
        <f t="shared" si="0"/>
        <v>45773</v>
      </c>
      <c r="P20" s="134">
        <f t="shared" si="0"/>
        <v>45774</v>
      </c>
      <c r="Q20" s="134">
        <f t="shared" si="0"/>
        <v>45775</v>
      </c>
      <c r="R20" s="134">
        <f t="shared" si="0"/>
        <v>45776</v>
      </c>
      <c r="S20" s="134">
        <f t="shared" si="0"/>
        <v>45777</v>
      </c>
      <c r="T20" s="134">
        <f t="shared" si="0"/>
        <v>45778</v>
      </c>
      <c r="U20" s="134">
        <f t="shared" si="0"/>
        <v>45779</v>
      </c>
      <c r="V20" s="134">
        <f t="shared" si="0"/>
        <v>45780</v>
      </c>
      <c r="W20" s="134">
        <f t="shared" si="0"/>
        <v>45781</v>
      </c>
      <c r="X20" s="134">
        <f t="shared" si="0"/>
        <v>45782</v>
      </c>
      <c r="Y20" s="134">
        <f t="shared" si="0"/>
        <v>45783</v>
      </c>
      <c r="Z20" s="134">
        <f t="shared" si="0"/>
        <v>45784</v>
      </c>
      <c r="AA20" s="134">
        <f t="shared" si="0"/>
        <v>45785</v>
      </c>
      <c r="AB20" s="134">
        <f t="shared" si="0"/>
        <v>45786</v>
      </c>
      <c r="AC20" s="134">
        <f t="shared" si="0"/>
        <v>45787</v>
      </c>
      <c r="AD20" s="134">
        <f t="shared" si="0"/>
        <v>45788</v>
      </c>
      <c r="AE20" s="134">
        <f t="shared" si="0"/>
        <v>45789</v>
      </c>
      <c r="AF20" s="134">
        <f t="shared" si="0"/>
        <v>45790</v>
      </c>
      <c r="AG20" s="134">
        <f t="shared" si="0"/>
        <v>45791</v>
      </c>
      <c r="AH20" s="134">
        <f t="shared" si="0"/>
        <v>45792</v>
      </c>
      <c r="AI20" s="135">
        <f t="shared" si="0"/>
        <v>45793</v>
      </c>
      <c r="AJ20" s="135">
        <f t="shared" si="0"/>
        <v>45794</v>
      </c>
      <c r="AK20" s="135">
        <f t="shared" si="0"/>
        <v>45795</v>
      </c>
      <c r="AL20" s="135">
        <f t="shared" si="0"/>
        <v>45796</v>
      </c>
      <c r="AM20" s="135">
        <f t="shared" si="0"/>
        <v>45797</v>
      </c>
      <c r="AN20" s="135">
        <f t="shared" si="0"/>
        <v>45798</v>
      </c>
      <c r="AO20" s="135">
        <f t="shared" si="0"/>
        <v>45799</v>
      </c>
      <c r="AP20" s="135">
        <f t="shared" si="0"/>
        <v>45800</v>
      </c>
      <c r="AQ20" s="135">
        <f t="shared" si="0"/>
        <v>45801</v>
      </c>
      <c r="AR20" s="135">
        <f t="shared" si="0"/>
        <v>45802</v>
      </c>
    </row>
    <row r="21" spans="1:44" x14ac:dyDescent="0.25">
      <c r="A21" s="130"/>
      <c r="B21" s="131"/>
      <c r="C21" s="132"/>
      <c r="D21" s="132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</row>
    <row r="22" spans="1:44" x14ac:dyDescent="0.25">
      <c r="A22" s="130" t="s">
        <v>8</v>
      </c>
      <c r="B22" s="132"/>
      <c r="C22" s="132"/>
      <c r="D22" s="136"/>
      <c r="E22" s="132">
        <f t="shared" ref="E22:AR22" ca="1" si="1">IF(E20&gt;TODAY(), #N/A, SUM(INDEX(Burndown,,(E19-1)*BurndownColumns+HoursLeftColumn)))</f>
        <v>6</v>
      </c>
      <c r="F22" s="132">
        <f t="shared" ca="1" si="1"/>
        <v>6</v>
      </c>
      <c r="G22" s="132">
        <f t="shared" ca="1" si="1"/>
        <v>6</v>
      </c>
      <c r="H22" s="132">
        <f t="shared" ca="1" si="1"/>
        <v>6</v>
      </c>
      <c r="I22" s="132">
        <f t="shared" ca="1" si="1"/>
        <v>6</v>
      </c>
      <c r="J22" s="132">
        <f t="shared" ca="1" si="1"/>
        <v>6</v>
      </c>
      <c r="K22" s="132">
        <f t="shared" ca="1" si="1"/>
        <v>6</v>
      </c>
      <c r="L22" s="132">
        <f t="shared" ca="1" si="1"/>
        <v>6</v>
      </c>
      <c r="M22" s="132">
        <f t="shared" ca="1" si="1"/>
        <v>6</v>
      </c>
      <c r="N22" s="132">
        <f t="shared" ca="1" si="1"/>
        <v>6</v>
      </c>
      <c r="O22" s="132">
        <f t="shared" ca="1" si="1"/>
        <v>6</v>
      </c>
      <c r="P22" s="132">
        <f t="shared" ca="1" si="1"/>
        <v>6</v>
      </c>
      <c r="Q22" s="132">
        <f t="shared" ca="1" si="1"/>
        <v>6</v>
      </c>
      <c r="R22" s="132">
        <f t="shared" ca="1" si="1"/>
        <v>6</v>
      </c>
      <c r="S22" s="132">
        <f t="shared" ca="1" si="1"/>
        <v>6</v>
      </c>
      <c r="T22" s="132">
        <f t="shared" ca="1" si="1"/>
        <v>6</v>
      </c>
      <c r="U22" s="132">
        <f t="shared" ca="1" si="1"/>
        <v>6</v>
      </c>
      <c r="V22" s="132">
        <f t="shared" ca="1" si="1"/>
        <v>6</v>
      </c>
      <c r="W22" s="132">
        <f t="shared" ca="1" si="1"/>
        <v>6</v>
      </c>
      <c r="X22" s="132">
        <f t="shared" ca="1" si="1"/>
        <v>6</v>
      </c>
      <c r="Y22" s="132">
        <f t="shared" ca="1" si="1"/>
        <v>6</v>
      </c>
      <c r="Z22" s="132">
        <f t="shared" ca="1" si="1"/>
        <v>6</v>
      </c>
      <c r="AA22" s="132">
        <f t="shared" ca="1" si="1"/>
        <v>6</v>
      </c>
      <c r="AB22" s="132">
        <f t="shared" ca="1" si="1"/>
        <v>6</v>
      </c>
      <c r="AC22" s="132">
        <f t="shared" ca="1" si="1"/>
        <v>6</v>
      </c>
      <c r="AD22" s="132">
        <f t="shared" ca="1" si="1"/>
        <v>6</v>
      </c>
      <c r="AE22" s="132">
        <f t="shared" ca="1" si="1"/>
        <v>6</v>
      </c>
      <c r="AF22" s="132">
        <f t="shared" ca="1" si="1"/>
        <v>6</v>
      </c>
      <c r="AG22" s="132">
        <f t="shared" ca="1" si="1"/>
        <v>6</v>
      </c>
      <c r="AH22" s="132">
        <f t="shared" ca="1" si="1"/>
        <v>6</v>
      </c>
      <c r="AI22" s="133">
        <f t="shared" ca="1" si="1"/>
        <v>6</v>
      </c>
      <c r="AJ22" s="133">
        <f t="shared" ca="1" si="1"/>
        <v>6</v>
      </c>
      <c r="AK22" s="133">
        <f t="shared" ca="1" si="1"/>
        <v>6</v>
      </c>
      <c r="AL22" s="133">
        <f t="shared" ca="1" si="1"/>
        <v>6</v>
      </c>
      <c r="AM22" s="133">
        <f t="shared" ca="1" si="1"/>
        <v>6</v>
      </c>
      <c r="AN22" s="133">
        <f t="shared" ca="1" si="1"/>
        <v>6</v>
      </c>
      <c r="AO22" s="133">
        <f t="shared" ca="1" si="1"/>
        <v>6</v>
      </c>
      <c r="AP22" s="133">
        <f t="shared" ca="1" si="1"/>
        <v>6</v>
      </c>
      <c r="AQ22" s="133">
        <f t="shared" ca="1" si="1"/>
        <v>6</v>
      </c>
      <c r="AR22" s="133">
        <f t="shared" ca="1" si="1"/>
        <v>6</v>
      </c>
    </row>
    <row r="23" spans="1:44" x14ac:dyDescent="0.25">
      <c r="A23" s="130" t="s">
        <v>20</v>
      </c>
      <c r="B23" s="132"/>
      <c r="C23" s="132"/>
      <c r="D23" s="136"/>
      <c r="E23" s="132">
        <f t="shared" ref="E23:AR23" ca="1" si="2">IF(E20&gt;TODAY(), #N/A, SUM(INDEX(Burndown,,(E19-1)*BurndownColumns+HoursSpentColumn)))</f>
        <v>1</v>
      </c>
      <c r="F23" s="132">
        <f t="shared" ca="1" si="2"/>
        <v>0</v>
      </c>
      <c r="G23" s="132">
        <f t="shared" ca="1" si="2"/>
        <v>0</v>
      </c>
      <c r="H23" s="132">
        <f t="shared" ca="1" si="2"/>
        <v>0</v>
      </c>
      <c r="I23" s="132">
        <f t="shared" ca="1" si="2"/>
        <v>0</v>
      </c>
      <c r="J23" s="132">
        <f t="shared" ca="1" si="2"/>
        <v>0</v>
      </c>
      <c r="K23" s="132">
        <f t="shared" ca="1" si="2"/>
        <v>0</v>
      </c>
      <c r="L23" s="132">
        <f t="shared" ca="1" si="2"/>
        <v>0</v>
      </c>
      <c r="M23" s="132">
        <f t="shared" ca="1" si="2"/>
        <v>0</v>
      </c>
      <c r="N23" s="132">
        <f t="shared" ca="1" si="2"/>
        <v>0</v>
      </c>
      <c r="O23" s="132">
        <f t="shared" ca="1" si="2"/>
        <v>0</v>
      </c>
      <c r="P23" s="132">
        <f t="shared" ca="1" si="2"/>
        <v>0</v>
      </c>
      <c r="Q23" s="132">
        <f t="shared" ca="1" si="2"/>
        <v>0</v>
      </c>
      <c r="R23" s="132">
        <f t="shared" ca="1" si="2"/>
        <v>0</v>
      </c>
      <c r="S23" s="132">
        <f t="shared" ca="1" si="2"/>
        <v>0</v>
      </c>
      <c r="T23" s="132">
        <f t="shared" ca="1" si="2"/>
        <v>0</v>
      </c>
      <c r="U23" s="132">
        <f t="shared" ca="1" si="2"/>
        <v>0</v>
      </c>
      <c r="V23" s="132">
        <f t="shared" ca="1" si="2"/>
        <v>0</v>
      </c>
      <c r="W23" s="132">
        <f t="shared" ca="1" si="2"/>
        <v>0</v>
      </c>
      <c r="X23" s="132">
        <f t="shared" ca="1" si="2"/>
        <v>0</v>
      </c>
      <c r="Y23" s="132">
        <f t="shared" ca="1" si="2"/>
        <v>0</v>
      </c>
      <c r="Z23" s="132">
        <f t="shared" ca="1" si="2"/>
        <v>0</v>
      </c>
      <c r="AA23" s="132">
        <f t="shared" ca="1" si="2"/>
        <v>0</v>
      </c>
      <c r="AB23" s="132">
        <f t="shared" ca="1" si="2"/>
        <v>0</v>
      </c>
      <c r="AC23" s="132">
        <f t="shared" ca="1" si="2"/>
        <v>0</v>
      </c>
      <c r="AD23" s="132">
        <f t="shared" ca="1" si="2"/>
        <v>0</v>
      </c>
      <c r="AE23" s="132">
        <f t="shared" ca="1" si="2"/>
        <v>0</v>
      </c>
      <c r="AF23" s="132">
        <f t="shared" ca="1" si="2"/>
        <v>0</v>
      </c>
      <c r="AG23" s="132">
        <f t="shared" ca="1" si="2"/>
        <v>0</v>
      </c>
      <c r="AH23" s="132">
        <f t="shared" ca="1" si="2"/>
        <v>0</v>
      </c>
      <c r="AI23" s="133">
        <f t="shared" ca="1" si="2"/>
        <v>0</v>
      </c>
      <c r="AJ23" s="133">
        <f t="shared" ca="1" si="2"/>
        <v>0</v>
      </c>
      <c r="AK23" s="133">
        <f t="shared" ca="1" si="2"/>
        <v>0</v>
      </c>
      <c r="AL23" s="133">
        <f t="shared" ca="1" si="2"/>
        <v>0</v>
      </c>
      <c r="AM23" s="133">
        <f t="shared" ca="1" si="2"/>
        <v>0</v>
      </c>
      <c r="AN23" s="133">
        <f t="shared" ca="1" si="2"/>
        <v>0</v>
      </c>
      <c r="AO23" s="133">
        <f t="shared" ca="1" si="2"/>
        <v>0</v>
      </c>
      <c r="AP23" s="133">
        <f t="shared" ca="1" si="2"/>
        <v>0</v>
      </c>
      <c r="AQ23" s="133">
        <f t="shared" ca="1" si="2"/>
        <v>0</v>
      </c>
      <c r="AR23" s="133">
        <f t="shared" ca="1" si="2"/>
        <v>0</v>
      </c>
    </row>
    <row r="24" spans="1:44" x14ac:dyDescent="0.25">
      <c r="A24" s="130" t="s">
        <v>3</v>
      </c>
      <c r="B24" s="132"/>
      <c r="C24" s="132"/>
      <c r="D24" s="136"/>
      <c r="E24" s="132">
        <f ca="1">IF(E20&gt;TODAY(), #N/A, SUM($E23:E23))</f>
        <v>1</v>
      </c>
      <c r="F24" s="132">
        <f ca="1">IF(F20&gt;TODAY(), #N/A, SUM($E23:F23))</f>
        <v>1</v>
      </c>
      <c r="G24" s="132">
        <f ca="1">IF(G20&gt;TODAY(), #N/A, SUM($E23:G23))</f>
        <v>1</v>
      </c>
      <c r="H24" s="132">
        <f ca="1">IF(H20&gt;TODAY(), #N/A, SUM($E23:H23))</f>
        <v>1</v>
      </c>
      <c r="I24" s="132">
        <f ca="1">IF(I20&gt;TODAY(), #N/A, SUM($E23:I23))</f>
        <v>1</v>
      </c>
      <c r="J24" s="132">
        <f ca="1">IF(J20&gt;TODAY(), #N/A, SUM($E23:J23))</f>
        <v>1</v>
      </c>
      <c r="K24" s="132">
        <f ca="1">IF(K20&gt;TODAY(), #N/A, SUM($E23:K23))</f>
        <v>1</v>
      </c>
      <c r="L24" s="132">
        <f ca="1">IF(L20&gt;TODAY(), #N/A, SUM($E23:L23))</f>
        <v>1</v>
      </c>
      <c r="M24" s="132">
        <f ca="1">IF(M20&gt;TODAY(), #N/A, SUM($E23:M23))</f>
        <v>1</v>
      </c>
      <c r="N24" s="132">
        <f ca="1">IF(N20&gt;TODAY(), #N/A, SUM($E23:N23))</f>
        <v>1</v>
      </c>
      <c r="O24" s="132">
        <f ca="1">IF(O20&gt;TODAY(), #N/A, SUM($E23:O23))</f>
        <v>1</v>
      </c>
      <c r="P24" s="132">
        <f ca="1">IF(P20&gt;TODAY(), #N/A, SUM($E23:P23))</f>
        <v>1</v>
      </c>
      <c r="Q24" s="132">
        <f ca="1">IF(Q20&gt;TODAY(), #N/A, SUM($E23:Q23))</f>
        <v>1</v>
      </c>
      <c r="R24" s="132">
        <f ca="1">IF(R20&gt;TODAY(), #N/A, SUM($E23:R23))</f>
        <v>1</v>
      </c>
      <c r="S24" s="132">
        <f ca="1">IF(S20&gt;TODAY(), #N/A, SUM($E23:S23))</f>
        <v>1</v>
      </c>
      <c r="T24" s="132">
        <f ca="1">IF(T20&gt;TODAY(), #N/A, SUM($E23:T23))</f>
        <v>1</v>
      </c>
      <c r="U24" s="132">
        <f ca="1">IF(U20&gt;TODAY(), #N/A, SUM($E23:U23))</f>
        <v>1</v>
      </c>
      <c r="V24" s="132">
        <f ca="1">IF(V20&gt;TODAY(), #N/A, SUM($E23:V23))</f>
        <v>1</v>
      </c>
      <c r="W24" s="132">
        <f ca="1">IF(W20&gt;TODAY(), #N/A, SUM($E23:W23))</f>
        <v>1</v>
      </c>
      <c r="X24" s="132">
        <f ca="1">IF(X20&gt;TODAY(), #N/A, SUM($E23:X23))</f>
        <v>1</v>
      </c>
      <c r="Y24" s="132">
        <f ca="1">IF(Y20&gt;TODAY(), #N/A, SUM($E23:Y23))</f>
        <v>1</v>
      </c>
      <c r="Z24" s="132">
        <f ca="1">IF(Z20&gt;TODAY(), #N/A, SUM($E23:Z23))</f>
        <v>1</v>
      </c>
      <c r="AA24" s="132">
        <f ca="1">IF(AA20&gt;TODAY(), #N/A, SUM($E23:AA23))</f>
        <v>1</v>
      </c>
      <c r="AB24" s="132">
        <f ca="1">IF(AB20&gt;TODAY(), #N/A, SUM($E23:AB23))</f>
        <v>1</v>
      </c>
      <c r="AC24" s="132">
        <f ca="1">IF(AC20&gt;TODAY(), #N/A, SUM($E23:AC23))</f>
        <v>1</v>
      </c>
      <c r="AD24" s="132">
        <f ca="1">IF(AD20&gt;TODAY(), #N/A, SUM($E23:AD23))</f>
        <v>1</v>
      </c>
      <c r="AE24" s="132">
        <f ca="1">IF(AE20&gt;TODAY(), #N/A, SUM($E23:AE23))</f>
        <v>1</v>
      </c>
      <c r="AF24" s="132">
        <f ca="1">IF(AF20&gt;TODAY(), #N/A, SUM($E23:AF23))</f>
        <v>1</v>
      </c>
      <c r="AG24" s="132">
        <f ca="1">IF(AG20&gt;TODAY(), #N/A, SUM($E23:AG23))</f>
        <v>1</v>
      </c>
      <c r="AH24" s="132">
        <f ca="1">IF(AH20&gt;TODAY(), #N/A, SUM($E23:AH23))</f>
        <v>1</v>
      </c>
      <c r="AI24" s="133">
        <f ca="1">IF(AI20&gt;TODAY(), #N/A, SUM($E23:AI23))</f>
        <v>1</v>
      </c>
      <c r="AJ24" s="133">
        <f ca="1">IF(AJ20&gt;TODAY(), #N/A, SUM($E23:AJ23))</f>
        <v>1</v>
      </c>
      <c r="AK24" s="133">
        <f ca="1">IF(AK20&gt;TODAY(), #N/A, SUM($E23:AK23))</f>
        <v>1</v>
      </c>
      <c r="AL24" s="133">
        <f ca="1">IF(AL20&gt;TODAY(), #N/A, SUM($E23:AL23))</f>
        <v>1</v>
      </c>
      <c r="AM24" s="133">
        <f ca="1">IF(AM20&gt;TODAY(), #N/A, SUM($E23:AM23))</f>
        <v>1</v>
      </c>
      <c r="AN24" s="133">
        <f ca="1">IF(AN20&gt;TODAY(), #N/A, SUM($E23:AN23))</f>
        <v>1</v>
      </c>
      <c r="AO24" s="133">
        <f ca="1">IF(AO20&gt;TODAY(), #N/A, SUM($E23:AO23))</f>
        <v>1</v>
      </c>
      <c r="AP24" s="133">
        <f ca="1">IF(AP20&gt;TODAY(), #N/A, SUM($E23:AP23))</f>
        <v>1</v>
      </c>
      <c r="AQ24" s="133">
        <f ca="1">IF(AQ20&gt;TODAY(), #N/A, SUM($E23:AQ23))</f>
        <v>1</v>
      </c>
      <c r="AR24" s="133">
        <f ca="1">IF(AR20&gt;TODAY(), #N/A, SUM($E23:AR23))</f>
        <v>1</v>
      </c>
    </row>
    <row r="25" spans="1:44" x14ac:dyDescent="0.25">
      <c r="A25" s="130" t="s">
        <v>22</v>
      </c>
      <c r="B25" s="132"/>
      <c r="C25" s="132"/>
      <c r="D25" s="136"/>
      <c r="E25" s="132">
        <f t="shared" ref="E25:AR25" ca="1" si="3">IF(E20&gt;TODAY(), #N/A, E22+E24)</f>
        <v>7</v>
      </c>
      <c r="F25" s="132">
        <f t="shared" ca="1" si="3"/>
        <v>7</v>
      </c>
      <c r="G25" s="132">
        <f t="shared" ca="1" si="3"/>
        <v>7</v>
      </c>
      <c r="H25" s="132">
        <f t="shared" ca="1" si="3"/>
        <v>7</v>
      </c>
      <c r="I25" s="132">
        <f t="shared" ca="1" si="3"/>
        <v>7</v>
      </c>
      <c r="J25" s="132">
        <f t="shared" ca="1" si="3"/>
        <v>7</v>
      </c>
      <c r="K25" s="132">
        <f t="shared" ca="1" si="3"/>
        <v>7</v>
      </c>
      <c r="L25" s="132">
        <f t="shared" ca="1" si="3"/>
        <v>7</v>
      </c>
      <c r="M25" s="132">
        <f t="shared" ca="1" si="3"/>
        <v>7</v>
      </c>
      <c r="N25" s="132">
        <f t="shared" ca="1" si="3"/>
        <v>7</v>
      </c>
      <c r="O25" s="132">
        <f t="shared" ca="1" si="3"/>
        <v>7</v>
      </c>
      <c r="P25" s="132">
        <f t="shared" ca="1" si="3"/>
        <v>7</v>
      </c>
      <c r="Q25" s="132">
        <f t="shared" ca="1" si="3"/>
        <v>7</v>
      </c>
      <c r="R25" s="132">
        <f t="shared" ca="1" si="3"/>
        <v>7</v>
      </c>
      <c r="S25" s="132">
        <f t="shared" ca="1" si="3"/>
        <v>7</v>
      </c>
      <c r="T25" s="132">
        <f t="shared" ca="1" si="3"/>
        <v>7</v>
      </c>
      <c r="U25" s="132">
        <f t="shared" ca="1" si="3"/>
        <v>7</v>
      </c>
      <c r="V25" s="132">
        <f t="shared" ca="1" si="3"/>
        <v>7</v>
      </c>
      <c r="W25" s="132">
        <f t="shared" ca="1" si="3"/>
        <v>7</v>
      </c>
      <c r="X25" s="132">
        <f t="shared" ca="1" si="3"/>
        <v>7</v>
      </c>
      <c r="Y25" s="132">
        <f t="shared" ca="1" si="3"/>
        <v>7</v>
      </c>
      <c r="Z25" s="132">
        <f t="shared" ca="1" si="3"/>
        <v>7</v>
      </c>
      <c r="AA25" s="132">
        <f t="shared" ca="1" si="3"/>
        <v>7</v>
      </c>
      <c r="AB25" s="132">
        <f t="shared" ca="1" si="3"/>
        <v>7</v>
      </c>
      <c r="AC25" s="132">
        <f t="shared" ca="1" si="3"/>
        <v>7</v>
      </c>
      <c r="AD25" s="132">
        <f t="shared" ca="1" si="3"/>
        <v>7</v>
      </c>
      <c r="AE25" s="132">
        <f t="shared" ca="1" si="3"/>
        <v>7</v>
      </c>
      <c r="AF25" s="132">
        <f t="shared" ca="1" si="3"/>
        <v>7</v>
      </c>
      <c r="AG25" s="132">
        <f t="shared" ca="1" si="3"/>
        <v>7</v>
      </c>
      <c r="AH25" s="132">
        <f t="shared" ca="1" si="3"/>
        <v>7</v>
      </c>
      <c r="AI25" s="133">
        <f t="shared" ca="1" si="3"/>
        <v>7</v>
      </c>
      <c r="AJ25" s="133">
        <f t="shared" ca="1" si="3"/>
        <v>7</v>
      </c>
      <c r="AK25" s="133">
        <f t="shared" ca="1" si="3"/>
        <v>7</v>
      </c>
      <c r="AL25" s="133">
        <f t="shared" ca="1" si="3"/>
        <v>7</v>
      </c>
      <c r="AM25" s="133">
        <f t="shared" ca="1" si="3"/>
        <v>7</v>
      </c>
      <c r="AN25" s="133">
        <f t="shared" ca="1" si="3"/>
        <v>7</v>
      </c>
      <c r="AO25" s="133">
        <f t="shared" ca="1" si="3"/>
        <v>7</v>
      </c>
      <c r="AP25" s="133">
        <f t="shared" ca="1" si="3"/>
        <v>7</v>
      </c>
      <c r="AQ25" s="133">
        <f t="shared" ca="1" si="3"/>
        <v>7</v>
      </c>
      <c r="AR25" s="133">
        <f t="shared" ca="1" si="3"/>
        <v>7</v>
      </c>
    </row>
    <row r="26" spans="1:44" x14ac:dyDescent="0.25">
      <c r="A26" s="130"/>
      <c r="B26" s="132"/>
      <c r="C26" s="132"/>
      <c r="D26" s="136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</row>
    <row r="27" spans="1:44" x14ac:dyDescent="0.25">
      <c r="A27" s="130" t="s">
        <v>4</v>
      </c>
      <c r="B27" s="132"/>
      <c r="C27" s="132"/>
      <c r="D27" s="136"/>
      <c r="E27" s="20">
        <f t="shared" ref="E27:AR27" ca="1" si="4">IF(E20&gt;TODAY(), #N/A, E24/E19)</f>
        <v>1</v>
      </c>
      <c r="F27" s="20">
        <f t="shared" ca="1" si="4"/>
        <v>0.5</v>
      </c>
      <c r="G27" s="20">
        <f t="shared" ca="1" si="4"/>
        <v>0.33333333333333331</v>
      </c>
      <c r="H27" s="20">
        <f t="shared" ca="1" si="4"/>
        <v>0.25</v>
      </c>
      <c r="I27" s="20">
        <f t="shared" ca="1" si="4"/>
        <v>0.2</v>
      </c>
      <c r="J27" s="20">
        <f t="shared" ca="1" si="4"/>
        <v>0.16666666666666666</v>
      </c>
      <c r="K27" s="20">
        <f t="shared" ca="1" si="4"/>
        <v>0.14285714285714285</v>
      </c>
      <c r="L27" s="20">
        <f t="shared" ca="1" si="4"/>
        <v>0.125</v>
      </c>
      <c r="M27" s="20">
        <f t="shared" ca="1" si="4"/>
        <v>0.1111111111111111</v>
      </c>
      <c r="N27" s="20">
        <f t="shared" ca="1" si="4"/>
        <v>0.1</v>
      </c>
      <c r="O27" s="20">
        <f t="shared" ca="1" si="4"/>
        <v>9.0909090909090912E-2</v>
      </c>
      <c r="P27" s="20">
        <f t="shared" ca="1" si="4"/>
        <v>8.3333333333333329E-2</v>
      </c>
      <c r="Q27" s="20">
        <f t="shared" ca="1" si="4"/>
        <v>7.6923076923076927E-2</v>
      </c>
      <c r="R27" s="20">
        <f t="shared" ca="1" si="4"/>
        <v>7.1428571428571425E-2</v>
      </c>
      <c r="S27" s="20">
        <f t="shared" ca="1" si="4"/>
        <v>6.6666666666666666E-2</v>
      </c>
      <c r="T27" s="20">
        <f t="shared" ca="1" si="4"/>
        <v>6.25E-2</v>
      </c>
      <c r="U27" s="20">
        <f t="shared" ca="1" si="4"/>
        <v>5.8823529411764705E-2</v>
      </c>
      <c r="V27" s="20">
        <f t="shared" ca="1" si="4"/>
        <v>5.5555555555555552E-2</v>
      </c>
      <c r="W27" s="20">
        <f t="shared" ca="1" si="4"/>
        <v>5.2631578947368418E-2</v>
      </c>
      <c r="X27" s="20">
        <f t="shared" ca="1" si="4"/>
        <v>0.05</v>
      </c>
      <c r="Y27" s="20">
        <f t="shared" ca="1" si="4"/>
        <v>4.7619047619047616E-2</v>
      </c>
      <c r="Z27" s="20">
        <f t="shared" ca="1" si="4"/>
        <v>4.5454545454545456E-2</v>
      </c>
      <c r="AA27" s="20">
        <f t="shared" ca="1" si="4"/>
        <v>4.3478260869565216E-2</v>
      </c>
      <c r="AB27" s="20">
        <f t="shared" ca="1" si="4"/>
        <v>4.1666666666666664E-2</v>
      </c>
      <c r="AC27" s="20">
        <f t="shared" ca="1" si="4"/>
        <v>0.04</v>
      </c>
      <c r="AD27" s="20">
        <f t="shared" ca="1" si="4"/>
        <v>3.8461538461538464E-2</v>
      </c>
      <c r="AE27" s="20">
        <f t="shared" ca="1" si="4"/>
        <v>3.7037037037037035E-2</v>
      </c>
      <c r="AF27" s="20">
        <f t="shared" ca="1" si="4"/>
        <v>3.5714285714285712E-2</v>
      </c>
      <c r="AG27" s="20">
        <f t="shared" ca="1" si="4"/>
        <v>3.4482758620689655E-2</v>
      </c>
      <c r="AH27" s="20">
        <f t="shared" ca="1" si="4"/>
        <v>3.3333333333333333E-2</v>
      </c>
      <c r="AI27" s="137">
        <f t="shared" ca="1" si="4"/>
        <v>3.2258064516129031E-2</v>
      </c>
      <c r="AJ27" s="137">
        <f t="shared" ca="1" si="4"/>
        <v>3.125E-2</v>
      </c>
      <c r="AK27" s="137">
        <f t="shared" ca="1" si="4"/>
        <v>3.0303030303030304E-2</v>
      </c>
      <c r="AL27" s="137">
        <f t="shared" ca="1" si="4"/>
        <v>2.9411764705882353E-2</v>
      </c>
      <c r="AM27" s="137">
        <f t="shared" ca="1" si="4"/>
        <v>2.8571428571428571E-2</v>
      </c>
      <c r="AN27" s="137">
        <f t="shared" ca="1" si="4"/>
        <v>2.7777777777777776E-2</v>
      </c>
      <c r="AO27" s="137">
        <f t="shared" ca="1" si="4"/>
        <v>2.7027027027027029E-2</v>
      </c>
      <c r="AP27" s="137">
        <f t="shared" ca="1" si="4"/>
        <v>2.6315789473684209E-2</v>
      </c>
      <c r="AQ27" s="137">
        <f t="shared" ca="1" si="4"/>
        <v>2.564102564102564E-2</v>
      </c>
      <c r="AR27" s="137">
        <f t="shared" ca="1" si="4"/>
        <v>2.5000000000000001E-2</v>
      </c>
    </row>
    <row r="28" spans="1:44" x14ac:dyDescent="0.25">
      <c r="A28" s="130" t="s">
        <v>5</v>
      </c>
      <c r="B28" s="132"/>
      <c r="C28" s="132"/>
      <c r="D28" s="136"/>
      <c r="E28" s="134">
        <f t="shared" ref="E28:AR28" ca="1" si="5">IF(E20&gt;TODAY(), #N/A, IF(E27=0, SprintStart, E20 + (E22/E27)))</f>
        <v>45769</v>
      </c>
      <c r="F28" s="134">
        <f t="shared" ca="1" si="5"/>
        <v>45776</v>
      </c>
      <c r="G28" s="134">
        <f t="shared" ca="1" si="5"/>
        <v>45783</v>
      </c>
      <c r="H28" s="134">
        <f t="shared" ca="1" si="5"/>
        <v>45790</v>
      </c>
      <c r="I28" s="134">
        <f t="shared" ca="1" si="5"/>
        <v>45797</v>
      </c>
      <c r="J28" s="134">
        <f t="shared" ca="1" si="5"/>
        <v>45804</v>
      </c>
      <c r="K28" s="134">
        <f t="shared" ca="1" si="5"/>
        <v>45811</v>
      </c>
      <c r="L28" s="134">
        <f t="shared" ca="1" si="5"/>
        <v>45818</v>
      </c>
      <c r="M28" s="134">
        <f t="shared" ca="1" si="5"/>
        <v>45825</v>
      </c>
      <c r="N28" s="134">
        <f t="shared" ca="1" si="5"/>
        <v>45832</v>
      </c>
      <c r="O28" s="134">
        <f t="shared" ca="1" si="5"/>
        <v>45839</v>
      </c>
      <c r="P28" s="134">
        <f t="shared" ca="1" si="5"/>
        <v>45846</v>
      </c>
      <c r="Q28" s="134">
        <f t="shared" ca="1" si="5"/>
        <v>45853</v>
      </c>
      <c r="R28" s="134">
        <f t="shared" ca="1" si="5"/>
        <v>45860</v>
      </c>
      <c r="S28" s="134">
        <f t="shared" ca="1" si="5"/>
        <v>45867</v>
      </c>
      <c r="T28" s="134">
        <f t="shared" ca="1" si="5"/>
        <v>45874</v>
      </c>
      <c r="U28" s="134">
        <f t="shared" ca="1" si="5"/>
        <v>45881</v>
      </c>
      <c r="V28" s="134">
        <f t="shared" ca="1" si="5"/>
        <v>45888</v>
      </c>
      <c r="W28" s="134">
        <f t="shared" ca="1" si="5"/>
        <v>45895</v>
      </c>
      <c r="X28" s="134">
        <f t="shared" ca="1" si="5"/>
        <v>45902</v>
      </c>
      <c r="Y28" s="134">
        <f t="shared" ca="1" si="5"/>
        <v>45909</v>
      </c>
      <c r="Z28" s="134">
        <f t="shared" ca="1" si="5"/>
        <v>45916</v>
      </c>
      <c r="AA28" s="134">
        <f t="shared" ca="1" si="5"/>
        <v>45923</v>
      </c>
      <c r="AB28" s="134">
        <f t="shared" ca="1" si="5"/>
        <v>45930</v>
      </c>
      <c r="AC28" s="134">
        <f t="shared" ca="1" si="5"/>
        <v>45937</v>
      </c>
      <c r="AD28" s="134">
        <f t="shared" ca="1" si="5"/>
        <v>45944</v>
      </c>
      <c r="AE28" s="134">
        <f t="shared" ca="1" si="5"/>
        <v>45951</v>
      </c>
      <c r="AF28" s="134">
        <f t="shared" ca="1" si="5"/>
        <v>45958</v>
      </c>
      <c r="AG28" s="134">
        <f t="shared" ca="1" si="5"/>
        <v>45965</v>
      </c>
      <c r="AH28" s="134">
        <f t="shared" ca="1" si="5"/>
        <v>45972</v>
      </c>
      <c r="AI28" s="135">
        <f t="shared" ca="1" si="5"/>
        <v>45979</v>
      </c>
      <c r="AJ28" s="135">
        <f t="shared" ca="1" si="5"/>
        <v>45986</v>
      </c>
      <c r="AK28" s="135">
        <f t="shared" ca="1" si="5"/>
        <v>45993</v>
      </c>
      <c r="AL28" s="135">
        <f t="shared" ca="1" si="5"/>
        <v>46000</v>
      </c>
      <c r="AM28" s="135">
        <f t="shared" ca="1" si="5"/>
        <v>46007</v>
      </c>
      <c r="AN28" s="135">
        <f t="shared" ca="1" si="5"/>
        <v>46014</v>
      </c>
      <c r="AO28" s="135">
        <f t="shared" ca="1" si="5"/>
        <v>46021</v>
      </c>
      <c r="AP28" s="135">
        <f t="shared" ca="1" si="5"/>
        <v>46028</v>
      </c>
      <c r="AQ28" s="135">
        <f t="shared" ca="1" si="5"/>
        <v>46035</v>
      </c>
      <c r="AR28" s="135">
        <f t="shared" ca="1" si="5"/>
        <v>46042</v>
      </c>
    </row>
    <row r="29" spans="1:44" x14ac:dyDescent="0.25">
      <c r="A29" s="130" t="s">
        <v>31</v>
      </c>
      <c r="B29" s="132"/>
      <c r="C29" s="132"/>
      <c r="D29" s="136"/>
      <c r="E29" s="134">
        <f t="shared" ref="E29:AR29" ca="1" si="6">IF(E$20&gt;TODAY(), #N/A, IF(E$33&gt;0, SprintStart+((E$25*E$19)/E$33)-1, SprintStart))</f>
        <v>45769</v>
      </c>
      <c r="F29" s="134">
        <f t="shared" ca="1" si="6"/>
        <v>45776</v>
      </c>
      <c r="G29" s="134">
        <f t="shared" ca="1" si="6"/>
        <v>45783</v>
      </c>
      <c r="H29" s="134">
        <f t="shared" ca="1" si="6"/>
        <v>45790</v>
      </c>
      <c r="I29" s="134">
        <f t="shared" ca="1" si="6"/>
        <v>45797</v>
      </c>
      <c r="J29" s="134">
        <f t="shared" ca="1" si="6"/>
        <v>45804</v>
      </c>
      <c r="K29" s="134">
        <f t="shared" ca="1" si="6"/>
        <v>45811</v>
      </c>
      <c r="L29" s="134">
        <f t="shared" ca="1" si="6"/>
        <v>45818</v>
      </c>
      <c r="M29" s="134">
        <f t="shared" ca="1" si="6"/>
        <v>45825</v>
      </c>
      <c r="N29" s="134">
        <f t="shared" ca="1" si="6"/>
        <v>45832</v>
      </c>
      <c r="O29" s="134">
        <f t="shared" ca="1" si="6"/>
        <v>45839</v>
      </c>
      <c r="P29" s="134">
        <f t="shared" ca="1" si="6"/>
        <v>45846</v>
      </c>
      <c r="Q29" s="134">
        <f t="shared" ca="1" si="6"/>
        <v>45853</v>
      </c>
      <c r="R29" s="134">
        <f t="shared" ca="1" si="6"/>
        <v>45860</v>
      </c>
      <c r="S29" s="134">
        <f t="shared" ca="1" si="6"/>
        <v>45867</v>
      </c>
      <c r="T29" s="134">
        <f t="shared" ca="1" si="6"/>
        <v>45874</v>
      </c>
      <c r="U29" s="134">
        <f t="shared" ca="1" si="6"/>
        <v>45881</v>
      </c>
      <c r="V29" s="134">
        <f t="shared" ca="1" si="6"/>
        <v>45888</v>
      </c>
      <c r="W29" s="134">
        <f t="shared" ca="1" si="6"/>
        <v>45895</v>
      </c>
      <c r="X29" s="134">
        <f t="shared" ca="1" si="6"/>
        <v>45902</v>
      </c>
      <c r="Y29" s="134">
        <f t="shared" ca="1" si="6"/>
        <v>45909</v>
      </c>
      <c r="Z29" s="134">
        <f t="shared" ca="1" si="6"/>
        <v>45916</v>
      </c>
      <c r="AA29" s="134">
        <f t="shared" ca="1" si="6"/>
        <v>45923</v>
      </c>
      <c r="AB29" s="134">
        <f t="shared" ca="1" si="6"/>
        <v>45930</v>
      </c>
      <c r="AC29" s="134">
        <f t="shared" ca="1" si="6"/>
        <v>45937</v>
      </c>
      <c r="AD29" s="134">
        <f t="shared" ca="1" si="6"/>
        <v>45944</v>
      </c>
      <c r="AE29" s="134">
        <f t="shared" ca="1" si="6"/>
        <v>45951</v>
      </c>
      <c r="AF29" s="134">
        <f t="shared" ca="1" si="6"/>
        <v>45958</v>
      </c>
      <c r="AG29" s="134">
        <f t="shared" ca="1" si="6"/>
        <v>45965</v>
      </c>
      <c r="AH29" s="134">
        <f t="shared" ca="1" si="6"/>
        <v>45972</v>
      </c>
      <c r="AI29" s="135">
        <f t="shared" ca="1" si="6"/>
        <v>45979</v>
      </c>
      <c r="AJ29" s="135">
        <f t="shared" ca="1" si="6"/>
        <v>45986</v>
      </c>
      <c r="AK29" s="135">
        <f t="shared" ca="1" si="6"/>
        <v>45993</v>
      </c>
      <c r="AL29" s="135">
        <f t="shared" ca="1" si="6"/>
        <v>46000</v>
      </c>
      <c r="AM29" s="135">
        <f t="shared" ca="1" si="6"/>
        <v>46007</v>
      </c>
      <c r="AN29" s="135">
        <f t="shared" ca="1" si="6"/>
        <v>46014</v>
      </c>
      <c r="AO29" s="135">
        <f t="shared" ca="1" si="6"/>
        <v>46021</v>
      </c>
      <c r="AP29" s="135">
        <f t="shared" ca="1" si="6"/>
        <v>46028</v>
      </c>
      <c r="AQ29" s="135">
        <f t="shared" ca="1" si="6"/>
        <v>46035</v>
      </c>
      <c r="AR29" s="135">
        <f t="shared" ca="1" si="6"/>
        <v>46042</v>
      </c>
    </row>
    <row r="30" spans="1:44" x14ac:dyDescent="0.25">
      <c r="A30" s="130"/>
      <c r="B30" s="132"/>
      <c r="C30" s="132"/>
      <c r="D30" s="136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</row>
    <row r="31" spans="1:44" x14ac:dyDescent="0.25">
      <c r="A31" s="130" t="s">
        <v>27</v>
      </c>
      <c r="B31" s="132"/>
      <c r="C31" s="132"/>
      <c r="D31" s="136"/>
      <c r="E31" s="132">
        <f t="shared" ref="E31:AR31" ca="1" si="7">IF(E$20&gt;TODAY(), #N/A, SUMIF(INDEX(Burndown,,(E$19-1)*BurndownColumns+StatusColumn), "=Pending",INDEX(Burndown,,(E$19-1)*BurndownColumns+HoursLeftColumn)))</f>
        <v>6</v>
      </c>
      <c r="F31" s="132">
        <f t="shared" ca="1" si="7"/>
        <v>6</v>
      </c>
      <c r="G31" s="132">
        <f t="shared" ca="1" si="7"/>
        <v>6</v>
      </c>
      <c r="H31" s="132">
        <f t="shared" ca="1" si="7"/>
        <v>6</v>
      </c>
      <c r="I31" s="132">
        <f t="shared" ca="1" si="7"/>
        <v>6</v>
      </c>
      <c r="J31" s="132">
        <f t="shared" ca="1" si="7"/>
        <v>6</v>
      </c>
      <c r="K31" s="132">
        <f t="shared" ca="1" si="7"/>
        <v>6</v>
      </c>
      <c r="L31" s="132">
        <f t="shared" ca="1" si="7"/>
        <v>6</v>
      </c>
      <c r="M31" s="132">
        <f t="shared" ca="1" si="7"/>
        <v>6</v>
      </c>
      <c r="N31" s="132">
        <f t="shared" ca="1" si="7"/>
        <v>6</v>
      </c>
      <c r="O31" s="132">
        <f t="shared" ca="1" si="7"/>
        <v>6</v>
      </c>
      <c r="P31" s="132">
        <f t="shared" ca="1" si="7"/>
        <v>6</v>
      </c>
      <c r="Q31" s="132">
        <f t="shared" ca="1" si="7"/>
        <v>6</v>
      </c>
      <c r="R31" s="132">
        <f t="shared" ca="1" si="7"/>
        <v>6</v>
      </c>
      <c r="S31" s="132">
        <f t="shared" ca="1" si="7"/>
        <v>6</v>
      </c>
      <c r="T31" s="132">
        <f t="shared" ca="1" si="7"/>
        <v>6</v>
      </c>
      <c r="U31" s="132">
        <f t="shared" ca="1" si="7"/>
        <v>6</v>
      </c>
      <c r="V31" s="132">
        <f t="shared" ca="1" si="7"/>
        <v>6</v>
      </c>
      <c r="W31" s="132">
        <f t="shared" ca="1" si="7"/>
        <v>6</v>
      </c>
      <c r="X31" s="132">
        <f t="shared" ca="1" si="7"/>
        <v>6</v>
      </c>
      <c r="Y31" s="132">
        <f t="shared" ca="1" si="7"/>
        <v>6</v>
      </c>
      <c r="Z31" s="132">
        <f t="shared" ca="1" si="7"/>
        <v>6</v>
      </c>
      <c r="AA31" s="132">
        <f t="shared" ca="1" si="7"/>
        <v>6</v>
      </c>
      <c r="AB31" s="132">
        <f t="shared" ca="1" si="7"/>
        <v>6</v>
      </c>
      <c r="AC31" s="132">
        <f t="shared" ca="1" si="7"/>
        <v>6</v>
      </c>
      <c r="AD31" s="132">
        <f t="shared" ca="1" si="7"/>
        <v>6</v>
      </c>
      <c r="AE31" s="132">
        <f t="shared" ca="1" si="7"/>
        <v>6</v>
      </c>
      <c r="AF31" s="132">
        <f t="shared" ca="1" si="7"/>
        <v>6</v>
      </c>
      <c r="AG31" s="132">
        <f t="shared" ca="1" si="7"/>
        <v>6</v>
      </c>
      <c r="AH31" s="132">
        <f t="shared" ca="1" si="7"/>
        <v>6</v>
      </c>
      <c r="AI31" s="133">
        <f t="shared" ca="1" si="7"/>
        <v>6</v>
      </c>
      <c r="AJ31" s="133">
        <f t="shared" ca="1" si="7"/>
        <v>6</v>
      </c>
      <c r="AK31" s="133">
        <f t="shared" ca="1" si="7"/>
        <v>6</v>
      </c>
      <c r="AL31" s="133">
        <f t="shared" ca="1" si="7"/>
        <v>6</v>
      </c>
      <c r="AM31" s="133">
        <f t="shared" ca="1" si="7"/>
        <v>6</v>
      </c>
      <c r="AN31" s="133">
        <f t="shared" ca="1" si="7"/>
        <v>6</v>
      </c>
      <c r="AO31" s="133">
        <f t="shared" ca="1" si="7"/>
        <v>6</v>
      </c>
      <c r="AP31" s="133">
        <f t="shared" ca="1" si="7"/>
        <v>6</v>
      </c>
      <c r="AQ31" s="133">
        <f t="shared" ca="1" si="7"/>
        <v>6</v>
      </c>
      <c r="AR31" s="133">
        <f t="shared" ca="1" si="7"/>
        <v>6</v>
      </c>
    </row>
    <row r="32" spans="1:44" x14ac:dyDescent="0.25">
      <c r="A32" s="130" t="s">
        <v>28</v>
      </c>
      <c r="B32" s="132"/>
      <c r="C32" s="132"/>
      <c r="D32" s="136"/>
      <c r="E32" s="138">
        <f t="shared" ref="E32:AR32" ca="1" si="8">E$22-E$31+E$24-E$33</f>
        <v>0</v>
      </c>
      <c r="F32" s="138">
        <f t="shared" ca="1" si="8"/>
        <v>0</v>
      </c>
      <c r="G32" s="138">
        <f t="shared" ca="1" si="8"/>
        <v>0</v>
      </c>
      <c r="H32" s="138">
        <f t="shared" ca="1" si="8"/>
        <v>0</v>
      </c>
      <c r="I32" s="138">
        <f t="shared" ca="1" si="8"/>
        <v>0</v>
      </c>
      <c r="J32" s="138">
        <f t="shared" ca="1" si="8"/>
        <v>0</v>
      </c>
      <c r="K32" s="138">
        <f t="shared" ca="1" si="8"/>
        <v>0</v>
      </c>
      <c r="L32" s="138">
        <f t="shared" ca="1" si="8"/>
        <v>0</v>
      </c>
      <c r="M32" s="138">
        <f t="shared" ca="1" si="8"/>
        <v>0</v>
      </c>
      <c r="N32" s="138">
        <f t="shared" ca="1" si="8"/>
        <v>0</v>
      </c>
      <c r="O32" s="138">
        <f t="shared" ca="1" si="8"/>
        <v>0</v>
      </c>
      <c r="P32" s="138">
        <f t="shared" ca="1" si="8"/>
        <v>0</v>
      </c>
      <c r="Q32" s="138">
        <f t="shared" ca="1" si="8"/>
        <v>0</v>
      </c>
      <c r="R32" s="138">
        <f t="shared" ca="1" si="8"/>
        <v>0</v>
      </c>
      <c r="S32" s="138">
        <f t="shared" ca="1" si="8"/>
        <v>0</v>
      </c>
      <c r="T32" s="138">
        <f t="shared" ca="1" si="8"/>
        <v>0</v>
      </c>
      <c r="U32" s="138">
        <f t="shared" ca="1" si="8"/>
        <v>0</v>
      </c>
      <c r="V32" s="138">
        <f t="shared" ca="1" si="8"/>
        <v>0</v>
      </c>
      <c r="W32" s="138">
        <f t="shared" ca="1" si="8"/>
        <v>0</v>
      </c>
      <c r="X32" s="138">
        <f t="shared" ca="1" si="8"/>
        <v>0</v>
      </c>
      <c r="Y32" s="138">
        <f t="shared" ca="1" si="8"/>
        <v>0</v>
      </c>
      <c r="Z32" s="138">
        <f t="shared" ca="1" si="8"/>
        <v>0</v>
      </c>
      <c r="AA32" s="138">
        <f t="shared" ca="1" si="8"/>
        <v>0</v>
      </c>
      <c r="AB32" s="138">
        <f t="shared" ca="1" si="8"/>
        <v>0</v>
      </c>
      <c r="AC32" s="138">
        <f t="shared" ca="1" si="8"/>
        <v>0</v>
      </c>
      <c r="AD32" s="138">
        <f t="shared" ca="1" si="8"/>
        <v>0</v>
      </c>
      <c r="AE32" s="138">
        <f t="shared" ca="1" si="8"/>
        <v>0</v>
      </c>
      <c r="AF32" s="138">
        <f t="shared" ca="1" si="8"/>
        <v>0</v>
      </c>
      <c r="AG32" s="138">
        <f t="shared" ca="1" si="8"/>
        <v>0</v>
      </c>
      <c r="AH32" s="138">
        <f t="shared" ca="1" si="8"/>
        <v>0</v>
      </c>
      <c r="AI32" s="139">
        <f t="shared" ca="1" si="8"/>
        <v>0</v>
      </c>
      <c r="AJ32" s="139">
        <f t="shared" ca="1" si="8"/>
        <v>0</v>
      </c>
      <c r="AK32" s="139">
        <f t="shared" ca="1" si="8"/>
        <v>0</v>
      </c>
      <c r="AL32" s="139">
        <f t="shared" ca="1" si="8"/>
        <v>0</v>
      </c>
      <c r="AM32" s="139">
        <f t="shared" ca="1" si="8"/>
        <v>0</v>
      </c>
      <c r="AN32" s="139">
        <f t="shared" ca="1" si="8"/>
        <v>0</v>
      </c>
      <c r="AO32" s="139">
        <f t="shared" ca="1" si="8"/>
        <v>0</v>
      </c>
      <c r="AP32" s="139">
        <f t="shared" ca="1" si="8"/>
        <v>0</v>
      </c>
      <c r="AQ32" s="139">
        <f t="shared" ca="1" si="8"/>
        <v>0</v>
      </c>
      <c r="AR32" s="139">
        <f t="shared" ca="1" si="8"/>
        <v>0</v>
      </c>
    </row>
    <row r="33" spans="1:44" x14ac:dyDescent="0.25">
      <c r="A33" s="130" t="s">
        <v>29</v>
      </c>
      <c r="B33" s="132"/>
      <c r="C33" s="132"/>
      <c r="D33" s="136"/>
      <c r="E33" s="132">
        <f t="shared" ref="E33:AR33" ca="1" si="9">IF(E$20&gt;TODAY(), #N/A, SUMIF(INDEX(Burndown,,(E$19-1)*BurndownColumns+StatusColumn), "=Complete",TotalEffort))</f>
        <v>1</v>
      </c>
      <c r="F33" s="132">
        <f t="shared" ca="1" si="9"/>
        <v>1</v>
      </c>
      <c r="G33" s="132">
        <f t="shared" ca="1" si="9"/>
        <v>1</v>
      </c>
      <c r="H33" s="132">
        <f t="shared" ca="1" si="9"/>
        <v>1</v>
      </c>
      <c r="I33" s="132">
        <f t="shared" ca="1" si="9"/>
        <v>1</v>
      </c>
      <c r="J33" s="132">
        <f t="shared" ca="1" si="9"/>
        <v>1</v>
      </c>
      <c r="K33" s="132">
        <f t="shared" ca="1" si="9"/>
        <v>1</v>
      </c>
      <c r="L33" s="132">
        <f t="shared" ca="1" si="9"/>
        <v>1</v>
      </c>
      <c r="M33" s="132">
        <f t="shared" ca="1" si="9"/>
        <v>1</v>
      </c>
      <c r="N33" s="132">
        <f t="shared" ca="1" si="9"/>
        <v>1</v>
      </c>
      <c r="O33" s="132">
        <f t="shared" ca="1" si="9"/>
        <v>1</v>
      </c>
      <c r="P33" s="132">
        <f t="shared" ca="1" si="9"/>
        <v>1</v>
      </c>
      <c r="Q33" s="132">
        <f t="shared" ca="1" si="9"/>
        <v>1</v>
      </c>
      <c r="R33" s="132">
        <f t="shared" ca="1" si="9"/>
        <v>1</v>
      </c>
      <c r="S33" s="132">
        <f t="shared" ca="1" si="9"/>
        <v>1</v>
      </c>
      <c r="T33" s="132">
        <f t="shared" ca="1" si="9"/>
        <v>1</v>
      </c>
      <c r="U33" s="132">
        <f t="shared" ca="1" si="9"/>
        <v>1</v>
      </c>
      <c r="V33" s="132">
        <f t="shared" ca="1" si="9"/>
        <v>1</v>
      </c>
      <c r="W33" s="132">
        <f t="shared" ca="1" si="9"/>
        <v>1</v>
      </c>
      <c r="X33" s="132">
        <f t="shared" ca="1" si="9"/>
        <v>1</v>
      </c>
      <c r="Y33" s="132">
        <f t="shared" ca="1" si="9"/>
        <v>1</v>
      </c>
      <c r="Z33" s="132">
        <f t="shared" ca="1" si="9"/>
        <v>1</v>
      </c>
      <c r="AA33" s="132">
        <f t="shared" ca="1" si="9"/>
        <v>1</v>
      </c>
      <c r="AB33" s="132">
        <f t="shared" ca="1" si="9"/>
        <v>1</v>
      </c>
      <c r="AC33" s="132">
        <f t="shared" ca="1" si="9"/>
        <v>1</v>
      </c>
      <c r="AD33" s="132">
        <f t="shared" ca="1" si="9"/>
        <v>1</v>
      </c>
      <c r="AE33" s="132">
        <f t="shared" ca="1" si="9"/>
        <v>1</v>
      </c>
      <c r="AF33" s="132">
        <f t="shared" ca="1" si="9"/>
        <v>1</v>
      </c>
      <c r="AG33" s="132">
        <f t="shared" ca="1" si="9"/>
        <v>1</v>
      </c>
      <c r="AH33" s="132">
        <f t="shared" ca="1" si="9"/>
        <v>1</v>
      </c>
      <c r="AI33" s="133">
        <f t="shared" ca="1" si="9"/>
        <v>1</v>
      </c>
      <c r="AJ33" s="133">
        <f t="shared" ca="1" si="9"/>
        <v>1</v>
      </c>
      <c r="AK33" s="133">
        <f t="shared" ca="1" si="9"/>
        <v>1</v>
      </c>
      <c r="AL33" s="133">
        <f t="shared" ca="1" si="9"/>
        <v>1</v>
      </c>
      <c r="AM33" s="133">
        <f t="shared" ca="1" si="9"/>
        <v>1</v>
      </c>
      <c r="AN33" s="133">
        <f t="shared" ca="1" si="9"/>
        <v>1</v>
      </c>
      <c r="AO33" s="133">
        <f t="shared" ca="1" si="9"/>
        <v>1</v>
      </c>
      <c r="AP33" s="133">
        <f t="shared" ca="1" si="9"/>
        <v>1</v>
      </c>
      <c r="AQ33" s="133">
        <f t="shared" ca="1" si="9"/>
        <v>1</v>
      </c>
      <c r="AR33" s="133">
        <f t="shared" ca="1" si="9"/>
        <v>1</v>
      </c>
    </row>
    <row r="34" spans="1:44" x14ac:dyDescent="0.25">
      <c r="A34" s="130"/>
      <c r="B34" s="132"/>
      <c r="C34" s="132"/>
      <c r="D34" s="136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</row>
    <row r="35" spans="1:44" x14ac:dyDescent="0.25">
      <c r="A35" s="130" t="s">
        <v>10</v>
      </c>
      <c r="B35" s="132"/>
      <c r="C35" s="132"/>
      <c r="D35" s="136"/>
      <c r="E35" s="132">
        <f t="shared" ref="E35:AR35" ca="1" si="10">IF(E20&gt;TODAY(), #N/A, COUNTIF(INDEX(Burndown,,(E19-1)*BurndownColumns+StatusColumn), "=Pending"))</f>
        <v>51</v>
      </c>
      <c r="F35" s="132">
        <f t="shared" ca="1" si="10"/>
        <v>51</v>
      </c>
      <c r="G35" s="132">
        <f t="shared" ca="1" si="10"/>
        <v>51</v>
      </c>
      <c r="H35" s="132">
        <f t="shared" ca="1" si="10"/>
        <v>51</v>
      </c>
      <c r="I35" s="132">
        <f t="shared" ca="1" si="10"/>
        <v>51</v>
      </c>
      <c r="J35" s="132">
        <f t="shared" ca="1" si="10"/>
        <v>51</v>
      </c>
      <c r="K35" s="132">
        <f t="shared" ca="1" si="10"/>
        <v>51</v>
      </c>
      <c r="L35" s="132">
        <f t="shared" ca="1" si="10"/>
        <v>51</v>
      </c>
      <c r="M35" s="132">
        <f t="shared" ca="1" si="10"/>
        <v>51</v>
      </c>
      <c r="N35" s="132">
        <f t="shared" ca="1" si="10"/>
        <v>51</v>
      </c>
      <c r="O35" s="132">
        <f t="shared" ca="1" si="10"/>
        <v>51</v>
      </c>
      <c r="P35" s="132">
        <f t="shared" ca="1" si="10"/>
        <v>51</v>
      </c>
      <c r="Q35" s="132">
        <f t="shared" ca="1" si="10"/>
        <v>51</v>
      </c>
      <c r="R35" s="132">
        <f t="shared" ca="1" si="10"/>
        <v>51</v>
      </c>
      <c r="S35" s="132">
        <f t="shared" ca="1" si="10"/>
        <v>51</v>
      </c>
      <c r="T35" s="132">
        <f t="shared" ca="1" si="10"/>
        <v>51</v>
      </c>
      <c r="U35" s="132">
        <f t="shared" ca="1" si="10"/>
        <v>51</v>
      </c>
      <c r="V35" s="132">
        <f t="shared" ca="1" si="10"/>
        <v>51</v>
      </c>
      <c r="W35" s="132">
        <f t="shared" ca="1" si="10"/>
        <v>51</v>
      </c>
      <c r="X35" s="132">
        <f t="shared" ca="1" si="10"/>
        <v>51</v>
      </c>
      <c r="Y35" s="132">
        <f t="shared" ca="1" si="10"/>
        <v>51</v>
      </c>
      <c r="Z35" s="132">
        <f t="shared" ca="1" si="10"/>
        <v>51</v>
      </c>
      <c r="AA35" s="132">
        <f t="shared" ca="1" si="10"/>
        <v>51</v>
      </c>
      <c r="AB35" s="132">
        <f t="shared" ca="1" si="10"/>
        <v>51</v>
      </c>
      <c r="AC35" s="132">
        <f t="shared" ca="1" si="10"/>
        <v>51</v>
      </c>
      <c r="AD35" s="132">
        <f t="shared" ca="1" si="10"/>
        <v>51</v>
      </c>
      <c r="AE35" s="132">
        <f t="shared" ca="1" si="10"/>
        <v>51</v>
      </c>
      <c r="AF35" s="132">
        <f t="shared" ca="1" si="10"/>
        <v>51</v>
      </c>
      <c r="AG35" s="132">
        <f t="shared" ca="1" si="10"/>
        <v>51</v>
      </c>
      <c r="AH35" s="132">
        <f t="shared" ca="1" si="10"/>
        <v>51</v>
      </c>
      <c r="AI35" s="132">
        <f t="shared" ca="1" si="10"/>
        <v>40</v>
      </c>
      <c r="AJ35" s="132">
        <f t="shared" ca="1" si="10"/>
        <v>40</v>
      </c>
      <c r="AK35" s="132">
        <f t="shared" ca="1" si="10"/>
        <v>40</v>
      </c>
      <c r="AL35" s="132">
        <f t="shared" ca="1" si="10"/>
        <v>40</v>
      </c>
      <c r="AM35" s="132">
        <f t="shared" ca="1" si="10"/>
        <v>40</v>
      </c>
      <c r="AN35" s="132">
        <f t="shared" ca="1" si="10"/>
        <v>40</v>
      </c>
      <c r="AO35" s="132">
        <f t="shared" ca="1" si="10"/>
        <v>40</v>
      </c>
      <c r="AP35" s="132">
        <f t="shared" ca="1" si="10"/>
        <v>40</v>
      </c>
      <c r="AQ35" s="132">
        <f t="shared" ca="1" si="10"/>
        <v>40</v>
      </c>
      <c r="AR35" s="132">
        <f t="shared" ca="1" si="10"/>
        <v>40</v>
      </c>
    </row>
    <row r="36" spans="1:44" x14ac:dyDescent="0.25">
      <c r="A36" s="130" t="s">
        <v>6</v>
      </c>
      <c r="B36" s="132"/>
      <c r="C36" s="132"/>
      <c r="D36" s="136"/>
      <c r="E36" s="132">
        <f t="shared" ref="E36:AR36" ca="1" si="11">IF(E20&gt;TODAY(), #N/A, COUNTIF(INDEX(Burndown,,(E19-1)*BurndownColumns+StatusColumn), "=In Progress"))</f>
        <v>0</v>
      </c>
      <c r="F36" s="132">
        <f t="shared" ca="1" si="11"/>
        <v>0</v>
      </c>
      <c r="G36" s="132">
        <f t="shared" ca="1" si="11"/>
        <v>0</v>
      </c>
      <c r="H36" s="132">
        <f t="shared" ca="1" si="11"/>
        <v>0</v>
      </c>
      <c r="I36" s="132">
        <f t="shared" ca="1" si="11"/>
        <v>0</v>
      </c>
      <c r="J36" s="132">
        <f t="shared" ca="1" si="11"/>
        <v>0</v>
      </c>
      <c r="K36" s="132">
        <f t="shared" ca="1" si="11"/>
        <v>0</v>
      </c>
      <c r="L36" s="132">
        <f t="shared" ca="1" si="11"/>
        <v>0</v>
      </c>
      <c r="M36" s="132">
        <f t="shared" ca="1" si="11"/>
        <v>0</v>
      </c>
      <c r="N36" s="132">
        <f t="shared" ca="1" si="11"/>
        <v>0</v>
      </c>
      <c r="O36" s="132">
        <f t="shared" ca="1" si="11"/>
        <v>0</v>
      </c>
      <c r="P36" s="132">
        <f t="shared" ca="1" si="11"/>
        <v>0</v>
      </c>
      <c r="Q36" s="132">
        <f t="shared" ca="1" si="11"/>
        <v>0</v>
      </c>
      <c r="R36" s="132">
        <f t="shared" ca="1" si="11"/>
        <v>0</v>
      </c>
      <c r="S36" s="132">
        <f t="shared" ca="1" si="11"/>
        <v>0</v>
      </c>
      <c r="T36" s="132">
        <f t="shared" ca="1" si="11"/>
        <v>0</v>
      </c>
      <c r="U36" s="132">
        <f t="shared" ca="1" si="11"/>
        <v>0</v>
      </c>
      <c r="V36" s="132">
        <f t="shared" ca="1" si="11"/>
        <v>0</v>
      </c>
      <c r="W36" s="132">
        <f t="shared" ca="1" si="11"/>
        <v>0</v>
      </c>
      <c r="X36" s="132">
        <f t="shared" ca="1" si="11"/>
        <v>0</v>
      </c>
      <c r="Y36" s="132">
        <f t="shared" ca="1" si="11"/>
        <v>0</v>
      </c>
      <c r="Z36" s="132">
        <f t="shared" ca="1" si="11"/>
        <v>0</v>
      </c>
      <c r="AA36" s="132">
        <f t="shared" ca="1" si="11"/>
        <v>0</v>
      </c>
      <c r="AB36" s="132">
        <f t="shared" ca="1" si="11"/>
        <v>0</v>
      </c>
      <c r="AC36" s="132">
        <f t="shared" ca="1" si="11"/>
        <v>0</v>
      </c>
      <c r="AD36" s="132">
        <f t="shared" ca="1" si="11"/>
        <v>0</v>
      </c>
      <c r="AE36" s="132">
        <f t="shared" ca="1" si="11"/>
        <v>0</v>
      </c>
      <c r="AF36" s="132">
        <f t="shared" ca="1" si="11"/>
        <v>0</v>
      </c>
      <c r="AG36" s="132">
        <f t="shared" ca="1" si="11"/>
        <v>0</v>
      </c>
      <c r="AH36" s="132">
        <f t="shared" ca="1" si="11"/>
        <v>0</v>
      </c>
      <c r="AI36" s="133">
        <f t="shared" ca="1" si="11"/>
        <v>0</v>
      </c>
      <c r="AJ36" s="133">
        <f t="shared" ca="1" si="11"/>
        <v>0</v>
      </c>
      <c r="AK36" s="133">
        <f t="shared" ca="1" si="11"/>
        <v>0</v>
      </c>
      <c r="AL36" s="133">
        <f t="shared" ca="1" si="11"/>
        <v>0</v>
      </c>
      <c r="AM36" s="133">
        <f t="shared" ca="1" si="11"/>
        <v>0</v>
      </c>
      <c r="AN36" s="133">
        <f t="shared" ca="1" si="11"/>
        <v>0</v>
      </c>
      <c r="AO36" s="133">
        <f t="shared" ca="1" si="11"/>
        <v>0</v>
      </c>
      <c r="AP36" s="133">
        <f t="shared" ca="1" si="11"/>
        <v>0</v>
      </c>
      <c r="AQ36" s="133">
        <f t="shared" ca="1" si="11"/>
        <v>0</v>
      </c>
      <c r="AR36" s="133">
        <f t="shared" ca="1" si="11"/>
        <v>0</v>
      </c>
    </row>
    <row r="37" spans="1:44" x14ac:dyDescent="0.25">
      <c r="A37" s="130" t="s">
        <v>7</v>
      </c>
      <c r="B37" s="132"/>
      <c r="C37" s="132"/>
      <c r="D37" s="136"/>
      <c r="E37" s="132">
        <f t="shared" ref="E37:AR37" ca="1" si="12">IF(E20&gt;TODAY(), #N/A, COUNTIF(INDEX(Burndown,,(E19-1)*BurndownColumns+StatusColumn), "=Complete"))</f>
        <v>1</v>
      </c>
      <c r="F37" s="132">
        <f t="shared" ca="1" si="12"/>
        <v>1</v>
      </c>
      <c r="G37" s="132">
        <f t="shared" ca="1" si="12"/>
        <v>1</v>
      </c>
      <c r="H37" s="132">
        <f t="shared" ca="1" si="12"/>
        <v>1</v>
      </c>
      <c r="I37" s="132">
        <f t="shared" ca="1" si="12"/>
        <v>1</v>
      </c>
      <c r="J37" s="132">
        <f t="shared" ca="1" si="12"/>
        <v>1</v>
      </c>
      <c r="K37" s="132">
        <f t="shared" ca="1" si="12"/>
        <v>1</v>
      </c>
      <c r="L37" s="132">
        <f t="shared" ca="1" si="12"/>
        <v>1</v>
      </c>
      <c r="M37" s="132">
        <f t="shared" ca="1" si="12"/>
        <v>1</v>
      </c>
      <c r="N37" s="132">
        <f t="shared" ca="1" si="12"/>
        <v>1</v>
      </c>
      <c r="O37" s="132">
        <f t="shared" ca="1" si="12"/>
        <v>1</v>
      </c>
      <c r="P37" s="132">
        <f t="shared" ca="1" si="12"/>
        <v>1</v>
      </c>
      <c r="Q37" s="132">
        <f t="shared" ca="1" si="12"/>
        <v>1</v>
      </c>
      <c r="R37" s="132">
        <f t="shared" ca="1" si="12"/>
        <v>1</v>
      </c>
      <c r="S37" s="132">
        <f t="shared" ca="1" si="12"/>
        <v>1</v>
      </c>
      <c r="T37" s="132">
        <f t="shared" ca="1" si="12"/>
        <v>1</v>
      </c>
      <c r="U37" s="132">
        <f t="shared" ca="1" si="12"/>
        <v>1</v>
      </c>
      <c r="V37" s="132">
        <f t="shared" ca="1" si="12"/>
        <v>1</v>
      </c>
      <c r="W37" s="132">
        <f t="shared" ca="1" si="12"/>
        <v>1</v>
      </c>
      <c r="X37" s="132">
        <f t="shared" ca="1" si="12"/>
        <v>1</v>
      </c>
      <c r="Y37" s="132">
        <f t="shared" ca="1" si="12"/>
        <v>1</v>
      </c>
      <c r="Z37" s="132">
        <f t="shared" ca="1" si="12"/>
        <v>1</v>
      </c>
      <c r="AA37" s="132">
        <f t="shared" ca="1" si="12"/>
        <v>1</v>
      </c>
      <c r="AB37" s="132">
        <f t="shared" ca="1" si="12"/>
        <v>1</v>
      </c>
      <c r="AC37" s="132">
        <f t="shared" ca="1" si="12"/>
        <v>1</v>
      </c>
      <c r="AD37" s="132">
        <f t="shared" ca="1" si="12"/>
        <v>1</v>
      </c>
      <c r="AE37" s="132">
        <f t="shared" ca="1" si="12"/>
        <v>1</v>
      </c>
      <c r="AF37" s="132">
        <f t="shared" ca="1" si="12"/>
        <v>1</v>
      </c>
      <c r="AG37" s="132">
        <f t="shared" ca="1" si="12"/>
        <v>1</v>
      </c>
      <c r="AH37" s="132">
        <f t="shared" ca="1" si="12"/>
        <v>1</v>
      </c>
      <c r="AI37" s="133">
        <f t="shared" ca="1" si="12"/>
        <v>1</v>
      </c>
      <c r="AJ37" s="133">
        <f t="shared" ca="1" si="12"/>
        <v>1</v>
      </c>
      <c r="AK37" s="133">
        <f t="shared" ca="1" si="12"/>
        <v>1</v>
      </c>
      <c r="AL37" s="133">
        <f t="shared" ca="1" si="12"/>
        <v>1</v>
      </c>
      <c r="AM37" s="133">
        <f t="shared" ca="1" si="12"/>
        <v>1</v>
      </c>
      <c r="AN37" s="133">
        <f t="shared" ca="1" si="12"/>
        <v>1</v>
      </c>
      <c r="AO37" s="133">
        <f t="shared" ca="1" si="12"/>
        <v>1</v>
      </c>
      <c r="AP37" s="133">
        <f t="shared" ca="1" si="12"/>
        <v>1</v>
      </c>
      <c r="AQ37" s="133">
        <f t="shared" ca="1" si="12"/>
        <v>1</v>
      </c>
      <c r="AR37" s="133">
        <f t="shared" ca="1" si="12"/>
        <v>1</v>
      </c>
    </row>
    <row r="38" spans="1:44" x14ac:dyDescent="0.25">
      <c r="A38" s="132"/>
      <c r="B38" s="132"/>
      <c r="C38" s="132"/>
      <c r="D38" s="132"/>
      <c r="E38" s="132"/>
      <c r="F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</row>
    <row r="39" spans="1:44" x14ac:dyDescent="0.25">
      <c r="A39" s="130" t="s">
        <v>25</v>
      </c>
      <c r="B39" s="132"/>
      <c r="C39" s="132"/>
      <c r="D39" s="132"/>
      <c r="E39" s="132"/>
      <c r="F39" s="132"/>
      <c r="G39" s="130" t="s">
        <v>24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</row>
    <row r="40" spans="1:44" ht="13.5" customHeight="1" x14ac:dyDescent="0.25">
      <c r="A40" s="130"/>
      <c r="B40" s="132" t="s">
        <v>26</v>
      </c>
      <c r="C40" s="132"/>
      <c r="D40" s="132"/>
      <c r="E40" s="132">
        <v>0</v>
      </c>
      <c r="F40" s="132"/>
      <c r="G40" s="132" t="s">
        <v>105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</row>
    <row r="41" spans="1:44" ht="13.5" customHeight="1" x14ac:dyDescent="0.25">
      <c r="A41" s="130"/>
      <c r="B41" s="132" t="s">
        <v>106</v>
      </c>
      <c r="C41" s="132"/>
      <c r="D41" s="132"/>
      <c r="E41" s="132">
        <v>0</v>
      </c>
      <c r="F41" s="132"/>
      <c r="G41" s="132" t="s">
        <v>107</v>
      </c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</row>
    <row r="42" spans="1:44" x14ac:dyDescent="0.25">
      <c r="A42" s="130"/>
      <c r="B42" s="132"/>
      <c r="C42" s="132"/>
      <c r="D42" s="132"/>
      <c r="E42" s="132"/>
      <c r="F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</row>
    <row r="43" spans="1:44" x14ac:dyDescent="0.25">
      <c r="A43" s="130" t="s">
        <v>17</v>
      </c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</row>
    <row r="44" spans="1:44" x14ac:dyDescent="0.25">
      <c r="A44" s="132"/>
      <c r="B44" s="132" t="s">
        <v>15</v>
      </c>
      <c r="C44" s="132"/>
      <c r="D44" s="132"/>
      <c r="E44" s="132">
        <v>3</v>
      </c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</row>
    <row r="45" spans="1:44" x14ac:dyDescent="0.25">
      <c r="A45" s="132"/>
      <c r="B45" s="132" t="s">
        <v>19</v>
      </c>
      <c r="C45" s="132"/>
      <c r="D45" s="132"/>
      <c r="E45" s="132">
        <v>1</v>
      </c>
      <c r="F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</row>
    <row r="46" spans="1:44" x14ac:dyDescent="0.25">
      <c r="A46" s="132"/>
      <c r="B46" s="132" t="s">
        <v>18</v>
      </c>
      <c r="C46" s="132"/>
      <c r="D46" s="132"/>
      <c r="E46" s="132">
        <v>2</v>
      </c>
    </row>
    <row r="47" spans="1:44" x14ac:dyDescent="0.25">
      <c r="A47" s="132"/>
      <c r="B47" s="132" t="s">
        <v>16</v>
      </c>
      <c r="C47" s="132"/>
      <c r="D47" s="132"/>
      <c r="E47" s="132">
        <v>3</v>
      </c>
    </row>
    <row r="48" spans="1:44" x14ac:dyDescent="0.25">
      <c r="A48" s="132"/>
      <c r="C48" s="132"/>
      <c r="D48" s="132"/>
    </row>
    <row r="49" spans="1:1" x14ac:dyDescent="0.25">
      <c r="A49" s="130"/>
    </row>
    <row r="50" spans="1:1" x14ac:dyDescent="0.25">
      <c r="A50" s="132"/>
    </row>
    <row r="51" spans="1:1" x14ac:dyDescent="0.25">
      <c r="A51" s="132"/>
    </row>
  </sheetData>
  <phoneticPr fontId="2" type="noConversion"/>
  <conditionalFormatting sqref="D19:AR21">
    <cfRule type="expression" dxfId="4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I51"/>
  <sheetViews>
    <sheetView zoomScale="130" zoomScaleNormal="130" workbookViewId="0">
      <selection activeCell="D10" sqref="D10"/>
    </sheetView>
  </sheetViews>
  <sheetFormatPr baseColWidth="10" defaultColWidth="9.1796875" defaultRowHeight="12.5" x14ac:dyDescent="0.25"/>
  <cols>
    <col min="1" max="1" width="2.7265625" style="39" customWidth="1"/>
    <col min="2" max="2" width="18.453125" style="39" bestFit="1" customWidth="1"/>
    <col min="3" max="3" width="33.1796875" style="39" customWidth="1"/>
    <col min="4" max="4" width="14.1796875" style="39" bestFit="1" customWidth="1"/>
    <col min="5" max="6" width="15.1796875" style="39" bestFit="1" customWidth="1"/>
    <col min="7" max="7" width="24" style="39" bestFit="1" customWidth="1"/>
    <col min="8" max="8" width="28.7265625" style="39" customWidth="1"/>
    <col min="9" max="9" width="2.81640625" style="39" bestFit="1" customWidth="1"/>
    <col min="10" max="16384" width="9.1796875" style="39"/>
  </cols>
  <sheetData>
    <row r="4" spans="2:8" x14ac:dyDescent="0.25">
      <c r="B4" s="122" t="s">
        <v>60</v>
      </c>
    </row>
    <row r="5" spans="2:8" ht="13" thickBot="1" x14ac:dyDescent="0.3"/>
    <row r="6" spans="2:8" ht="13" thickTop="1" x14ac:dyDescent="0.25">
      <c r="B6" s="122" t="s">
        <v>46</v>
      </c>
      <c r="C6" s="145" t="s">
        <v>34</v>
      </c>
      <c r="D6" s="146" t="s">
        <v>109</v>
      </c>
      <c r="E6" s="147" t="s">
        <v>35</v>
      </c>
      <c r="F6" s="148" t="s">
        <v>36</v>
      </c>
      <c r="G6" s="148" t="s">
        <v>37</v>
      </c>
      <c r="H6" s="149" t="s">
        <v>38</v>
      </c>
    </row>
    <row r="7" spans="2:8" x14ac:dyDescent="0.25">
      <c r="B7" s="122"/>
      <c r="C7" s="150"/>
      <c r="D7" s="151"/>
      <c r="E7" s="150"/>
      <c r="F7" s="150"/>
      <c r="G7" s="150"/>
      <c r="H7" s="150"/>
    </row>
    <row r="8" spans="2:8" x14ac:dyDescent="0.25">
      <c r="B8" s="122"/>
      <c r="C8" s="152" t="s">
        <v>147</v>
      </c>
      <c r="D8" s="152" t="s">
        <v>155</v>
      </c>
      <c r="E8" s="153"/>
      <c r="F8" s="153"/>
      <c r="G8" s="188"/>
      <c r="H8" s="154"/>
    </row>
    <row r="9" spans="2:8" x14ac:dyDescent="0.25">
      <c r="B9" s="122"/>
      <c r="C9" s="152" t="s">
        <v>148</v>
      </c>
      <c r="D9" s="155" t="s">
        <v>152</v>
      </c>
      <c r="E9" s="153"/>
      <c r="F9" s="153"/>
      <c r="G9" s="188"/>
      <c r="H9" s="154"/>
    </row>
    <row r="10" spans="2:8" ht="11.25" customHeight="1" x14ac:dyDescent="0.25">
      <c r="B10" s="122"/>
      <c r="C10" s="152" t="s">
        <v>149</v>
      </c>
      <c r="D10" s="156" t="s">
        <v>156</v>
      </c>
      <c r="E10" s="153"/>
      <c r="F10" s="153"/>
      <c r="G10" s="188"/>
      <c r="H10" s="154"/>
    </row>
    <row r="11" spans="2:8" x14ac:dyDescent="0.25">
      <c r="B11" s="122"/>
      <c r="C11" s="152" t="s">
        <v>150</v>
      </c>
      <c r="D11" s="155" t="s">
        <v>153</v>
      </c>
      <c r="E11" s="153"/>
      <c r="F11" s="153"/>
      <c r="G11" s="200"/>
      <c r="H11" s="154"/>
    </row>
    <row r="12" spans="2:8" x14ac:dyDescent="0.25">
      <c r="B12" s="122"/>
      <c r="C12" s="152" t="s">
        <v>151</v>
      </c>
      <c r="D12" s="157" t="s">
        <v>154</v>
      </c>
      <c r="E12" s="153"/>
      <c r="F12" s="153"/>
      <c r="G12" s="188"/>
      <c r="H12" s="154"/>
    </row>
    <row r="13" spans="2:8" x14ac:dyDescent="0.25">
      <c r="B13" s="122"/>
      <c r="C13" s="156"/>
      <c r="D13" s="156"/>
      <c r="E13" s="153"/>
      <c r="F13" s="153"/>
      <c r="G13" s="162"/>
      <c r="H13" s="154"/>
    </row>
    <row r="14" spans="2:8" x14ac:dyDescent="0.25">
      <c r="B14" s="122"/>
      <c r="C14" s="156"/>
      <c r="D14" s="156"/>
      <c r="E14" s="153"/>
      <c r="F14" s="153"/>
      <c r="G14" s="161"/>
      <c r="H14" s="154"/>
    </row>
    <row r="15" spans="2:8" x14ac:dyDescent="0.25">
      <c r="B15" s="122"/>
      <c r="C15" s="156"/>
      <c r="D15" s="156"/>
      <c r="E15" s="153"/>
      <c r="F15" s="153"/>
      <c r="G15" s="161"/>
      <c r="H15" s="154"/>
    </row>
    <row r="16" spans="2:8" x14ac:dyDescent="0.25">
      <c r="B16" s="122"/>
      <c r="C16" s="156"/>
      <c r="D16" s="156"/>
      <c r="E16" s="153"/>
      <c r="F16" s="153"/>
      <c r="G16" s="161"/>
      <c r="H16" s="154"/>
    </row>
    <row r="17" spans="2:8" x14ac:dyDescent="0.25">
      <c r="B17" s="122"/>
      <c r="C17" s="156"/>
      <c r="D17" s="156"/>
      <c r="E17" s="153"/>
      <c r="F17" s="153"/>
      <c r="G17" s="163"/>
      <c r="H17" s="154"/>
    </row>
    <row r="18" spans="2:8" x14ac:dyDescent="0.25">
      <c r="B18" s="122"/>
      <c r="C18" s="156"/>
      <c r="D18" s="156"/>
      <c r="E18" s="153"/>
      <c r="F18" s="153"/>
      <c r="G18" s="163"/>
      <c r="H18" s="154"/>
    </row>
    <row r="19" spans="2:8" x14ac:dyDescent="0.25">
      <c r="B19" s="122"/>
      <c r="C19" s="156"/>
      <c r="D19" s="156"/>
      <c r="E19" s="153"/>
      <c r="F19" s="153"/>
      <c r="G19" s="164"/>
      <c r="H19" s="154"/>
    </row>
    <row r="20" spans="2:8" x14ac:dyDescent="0.25">
      <c r="B20" s="122"/>
      <c r="C20" s="156"/>
      <c r="D20" s="156"/>
      <c r="E20" s="160"/>
      <c r="F20" s="152"/>
      <c r="G20" s="155"/>
      <c r="H20" s="152"/>
    </row>
    <row r="21" spans="2:8" x14ac:dyDescent="0.25">
      <c r="B21" s="122"/>
      <c r="C21" s="159"/>
      <c r="D21" s="159"/>
      <c r="E21" s="160"/>
      <c r="F21" s="152"/>
      <c r="G21" s="157"/>
      <c r="H21" s="152"/>
    </row>
    <row r="22" spans="2:8" x14ac:dyDescent="0.25">
      <c r="B22" s="122"/>
      <c r="C22" s="156"/>
      <c r="D22" s="156"/>
      <c r="E22" s="160"/>
      <c r="F22" s="158"/>
      <c r="G22" s="157"/>
      <c r="H22" s="157"/>
    </row>
    <row r="23" spans="2:8" x14ac:dyDescent="0.25">
      <c r="B23" s="122"/>
      <c r="C23" s="156"/>
      <c r="D23" s="156"/>
      <c r="E23" s="160"/>
      <c r="F23" s="158"/>
      <c r="G23" s="155"/>
      <c r="H23" s="157"/>
    </row>
    <row r="24" spans="2:8" x14ac:dyDescent="0.25">
      <c r="B24" s="122"/>
      <c r="C24" s="156"/>
      <c r="D24" s="156"/>
      <c r="E24" s="160"/>
      <c r="F24" s="152"/>
      <c r="G24" s="155"/>
      <c r="H24" s="157"/>
    </row>
    <row r="25" spans="2:8" ht="13" thickBot="1" x14ac:dyDescent="0.3">
      <c r="C25" s="123"/>
      <c r="D25" s="124"/>
      <c r="E25" s="124"/>
      <c r="F25" s="125"/>
      <c r="G25" s="126"/>
      <c r="H25" s="127"/>
    </row>
    <row r="26" spans="2:8" ht="13" thickTop="1" x14ac:dyDescent="0.25"/>
    <row r="41" spans="7:9" x14ac:dyDescent="0.25">
      <c r="G41" s="122"/>
      <c r="I41" s="128"/>
    </row>
    <row r="43" spans="7:9" x14ac:dyDescent="0.25">
      <c r="G43" s="122"/>
      <c r="H43" s="128"/>
      <c r="I43" s="128"/>
    </row>
    <row r="51" spans="4:4" x14ac:dyDescent="0.25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Z45"/>
  <sheetViews>
    <sheetView zoomScaleNormal="130" workbookViewId="0">
      <pane xSplit="7" ySplit="6" topLeftCell="I7" activePane="bottomRight" state="frozen"/>
      <selection activeCell="B20" sqref="B20"/>
      <selection pane="topRight" activeCell="B20" sqref="B20"/>
      <selection pane="bottomLeft" activeCell="B20" sqref="B20"/>
      <selection pane="bottomRight" activeCell="E15" sqref="E15"/>
    </sheetView>
  </sheetViews>
  <sheetFormatPr baseColWidth="10" defaultColWidth="9.1796875" defaultRowHeight="12.5" x14ac:dyDescent="0.25"/>
  <cols>
    <col min="1" max="1" width="2.26953125" style="39" customWidth="1"/>
    <col min="2" max="2" width="23.453125" style="40" customWidth="1"/>
    <col min="3" max="4" width="6.54296875" style="40" bestFit="1" customWidth="1"/>
    <col min="5" max="5" width="28.54296875" style="39" bestFit="1" customWidth="1"/>
    <col min="6" max="6" width="13.1796875" style="39" bestFit="1" customWidth="1"/>
    <col min="7" max="7" width="10" style="39" bestFit="1" customWidth="1"/>
    <col min="8" max="8" width="1.81640625" style="39" customWidth="1"/>
    <col min="9" max="9" width="8.81640625" style="39" customWidth="1"/>
    <col min="10" max="10" width="3.1796875" style="39" customWidth="1"/>
    <col min="11" max="15" width="3.7265625" style="39" customWidth="1"/>
    <col min="16" max="16" width="8" style="39" customWidth="1"/>
    <col min="17" max="22" width="3.7265625" style="39" customWidth="1"/>
    <col min="23" max="23" width="8.81640625" style="39" customWidth="1"/>
    <col min="24" max="29" width="3.7265625" style="39" customWidth="1"/>
    <col min="30" max="30" width="8.453125" style="39" customWidth="1"/>
    <col min="31" max="36" width="3.7265625" style="39" customWidth="1"/>
    <col min="37" max="37" width="4" style="39" customWidth="1"/>
    <col min="38" max="42" width="3" style="39" customWidth="1"/>
    <col min="43" max="52" width="9.1796875" style="39"/>
    <col min="53" max="16384" width="9.1796875" style="6"/>
  </cols>
  <sheetData>
    <row r="1" spans="2:42" ht="13" thickBot="1" x14ac:dyDescent="0.3"/>
    <row r="2" spans="2:42" x14ac:dyDescent="0.25">
      <c r="B2" s="41" t="s">
        <v>49</v>
      </c>
      <c r="C2" s="42"/>
      <c r="D2" s="43" t="str">
        <f ca="1">TEXT(E2,"ddd")</f>
        <v>ddd</v>
      </c>
      <c r="E2" s="44">
        <f ca="1">TODAY()</f>
        <v>46128</v>
      </c>
    </row>
    <row r="3" spans="2:42" ht="13" thickBot="1" x14ac:dyDescent="0.3">
      <c r="B3" s="45" t="s">
        <v>48</v>
      </c>
      <c r="C3" s="46"/>
      <c r="D3" s="47" t="s">
        <v>121</v>
      </c>
      <c r="E3" s="48">
        <v>45763</v>
      </c>
    </row>
    <row r="4" spans="2:42" ht="13" thickBot="1" x14ac:dyDescent="0.3">
      <c r="D4" s="39"/>
      <c r="E4" s="49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</row>
    <row r="5" spans="2:42" ht="15.5" thickBot="1" x14ac:dyDescent="0.35">
      <c r="B5" s="230" t="s">
        <v>52</v>
      </c>
      <c r="C5" s="231"/>
      <c r="D5" s="231"/>
      <c r="E5" s="231"/>
      <c r="F5" s="231"/>
      <c r="G5" s="232"/>
      <c r="I5" s="51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4"/>
      <c r="AL5" s="53"/>
      <c r="AM5" s="53"/>
      <c r="AN5" s="53"/>
      <c r="AO5" s="53"/>
      <c r="AP5" s="55"/>
    </row>
    <row r="6" spans="2:42" ht="13" thickBot="1" x14ac:dyDescent="0.3">
      <c r="B6" s="56" t="s">
        <v>58</v>
      </c>
      <c r="C6" s="57">
        <v>1</v>
      </c>
      <c r="D6" s="58"/>
      <c r="E6" s="59" t="s">
        <v>59</v>
      </c>
      <c r="F6" s="60">
        <v>14</v>
      </c>
      <c r="G6" s="61"/>
      <c r="I6" s="62">
        <f>IF(D3="Mon",E3-0,IF(D3="Tue",E3-1,IF(D3="Wed",E3-2,IF(D3="Thu",E3-3,IF(D3="Fri",E3-4,IF(D3="Sat",E3-5,IF(D3="Sun",E3-6,"False")))))))</f>
        <v>45763</v>
      </c>
      <c r="J6" s="63">
        <f t="shared" ref="J6:O6" si="0">I6+1</f>
        <v>45764</v>
      </c>
      <c r="K6" s="63">
        <f t="shared" si="0"/>
        <v>45765</v>
      </c>
      <c r="L6" s="63">
        <f t="shared" si="0"/>
        <v>45766</v>
      </c>
      <c r="M6" s="63">
        <f t="shared" si="0"/>
        <v>45767</v>
      </c>
      <c r="N6" s="64">
        <f t="shared" si="0"/>
        <v>45768</v>
      </c>
      <c r="O6" s="64">
        <f t="shared" si="0"/>
        <v>45769</v>
      </c>
      <c r="P6" s="65">
        <f>I6+7</f>
        <v>45770</v>
      </c>
      <c r="Q6" s="63">
        <f t="shared" ref="Q6:V6" si="1">P6+1</f>
        <v>45771</v>
      </c>
      <c r="R6" s="63">
        <f t="shared" si="1"/>
        <v>45772</v>
      </c>
      <c r="S6" s="63">
        <f t="shared" si="1"/>
        <v>45773</v>
      </c>
      <c r="T6" s="63">
        <f t="shared" si="1"/>
        <v>45774</v>
      </c>
      <c r="U6" s="64">
        <f t="shared" si="1"/>
        <v>45775</v>
      </c>
      <c r="V6" s="64">
        <f t="shared" si="1"/>
        <v>45776</v>
      </c>
      <c r="W6" s="65">
        <f>P6+7</f>
        <v>45777</v>
      </c>
      <c r="X6" s="63">
        <f t="shared" ref="X6:AC6" si="2">W6+1</f>
        <v>45778</v>
      </c>
      <c r="Y6" s="63">
        <f t="shared" si="2"/>
        <v>45779</v>
      </c>
      <c r="Z6" s="63">
        <f t="shared" si="2"/>
        <v>45780</v>
      </c>
      <c r="AA6" s="63">
        <f t="shared" si="2"/>
        <v>45781</v>
      </c>
      <c r="AB6" s="64">
        <f t="shared" si="2"/>
        <v>45782</v>
      </c>
      <c r="AC6" s="64">
        <f t="shared" si="2"/>
        <v>45783</v>
      </c>
      <c r="AD6" s="65">
        <f>W6+7</f>
        <v>45784</v>
      </c>
      <c r="AE6" s="63">
        <f t="shared" ref="AE6" si="3">AD6+1</f>
        <v>45785</v>
      </c>
      <c r="AF6" s="63">
        <f t="shared" ref="AF6" si="4">AE6+1</f>
        <v>45786</v>
      </c>
      <c r="AG6" s="63">
        <f t="shared" ref="AG6" si="5">AF6+1</f>
        <v>45787</v>
      </c>
      <c r="AH6" s="63">
        <f t="shared" ref="AH6" si="6">AG6+1</f>
        <v>45788</v>
      </c>
      <c r="AI6" s="64">
        <f t="shared" ref="AI6" si="7">AH6+1</f>
        <v>45789</v>
      </c>
      <c r="AJ6" s="64">
        <f t="shared" ref="AJ6" si="8">AI6+1</f>
        <v>45790</v>
      </c>
      <c r="AK6" s="233"/>
      <c r="AL6" s="234"/>
      <c r="AM6" s="234"/>
      <c r="AN6" s="234"/>
      <c r="AO6" s="234"/>
      <c r="AP6" s="235"/>
    </row>
    <row r="7" spans="2:42" ht="21" thickBot="1" x14ac:dyDescent="0.3">
      <c r="B7" s="66"/>
      <c r="C7" s="67"/>
      <c r="D7" s="58"/>
      <c r="E7" s="68" t="s">
        <v>50</v>
      </c>
      <c r="F7" s="68" t="s">
        <v>56</v>
      </c>
      <c r="G7" s="69" t="s">
        <v>51</v>
      </c>
      <c r="I7" s="70" t="s">
        <v>32</v>
      </c>
      <c r="J7" s="71" t="s">
        <v>39</v>
      </c>
      <c r="K7" s="71" t="s">
        <v>40</v>
      </c>
      <c r="L7" s="71" t="s">
        <v>39</v>
      </c>
      <c r="M7" s="71" t="s">
        <v>41</v>
      </c>
      <c r="N7" s="72" t="s">
        <v>33</v>
      </c>
      <c r="O7" s="73" t="s">
        <v>33</v>
      </c>
      <c r="P7" s="70" t="s">
        <v>32</v>
      </c>
      <c r="Q7" s="71" t="s">
        <v>39</v>
      </c>
      <c r="R7" s="71" t="s">
        <v>40</v>
      </c>
      <c r="S7" s="71" t="s">
        <v>39</v>
      </c>
      <c r="T7" s="71" t="s">
        <v>41</v>
      </c>
      <c r="U7" s="72" t="s">
        <v>33</v>
      </c>
      <c r="V7" s="73" t="s">
        <v>33</v>
      </c>
      <c r="W7" s="70" t="s">
        <v>32</v>
      </c>
      <c r="X7" s="71" t="s">
        <v>39</v>
      </c>
      <c r="Y7" s="71" t="s">
        <v>40</v>
      </c>
      <c r="Z7" s="71" t="s">
        <v>39</v>
      </c>
      <c r="AA7" s="71" t="s">
        <v>41</v>
      </c>
      <c r="AB7" s="72" t="s">
        <v>33</v>
      </c>
      <c r="AC7" s="73" t="s">
        <v>33</v>
      </c>
      <c r="AD7" s="70" t="s">
        <v>32</v>
      </c>
      <c r="AE7" s="71" t="s">
        <v>39</v>
      </c>
      <c r="AF7" s="71" t="s">
        <v>40</v>
      </c>
      <c r="AG7" s="71" t="s">
        <v>39</v>
      </c>
      <c r="AH7" s="71" t="s">
        <v>41</v>
      </c>
      <c r="AI7" s="72" t="s">
        <v>33</v>
      </c>
      <c r="AJ7" s="73" t="s">
        <v>33</v>
      </c>
      <c r="AK7" s="239" t="s">
        <v>47</v>
      </c>
      <c r="AL7" s="240"/>
      <c r="AM7" s="240"/>
      <c r="AN7" s="240"/>
      <c r="AO7" s="240"/>
      <c r="AP7" s="241"/>
    </row>
    <row r="8" spans="2:42" ht="13" thickBot="1" x14ac:dyDescent="0.3">
      <c r="B8" s="74" t="s">
        <v>42</v>
      </c>
      <c r="C8" s="75">
        <f>SUM(G8:G25)</f>
        <v>0</v>
      </c>
      <c r="D8" s="76"/>
      <c r="E8" s="77" t="s">
        <v>155</v>
      </c>
      <c r="F8" s="78">
        <v>0.8</v>
      </c>
      <c r="G8" s="79">
        <f>SUMIF(Sprint!$F$4:$F$1848,E8,Sprint!$CU$4:$CU$1848)</f>
        <v>0</v>
      </c>
      <c r="H8" s="80"/>
      <c r="I8" s="86">
        <v>1</v>
      </c>
      <c r="J8" s="86">
        <v>1</v>
      </c>
      <c r="K8" s="86">
        <v>1</v>
      </c>
      <c r="L8" s="86">
        <v>1</v>
      </c>
      <c r="M8" s="86">
        <v>1</v>
      </c>
      <c r="N8" s="81"/>
      <c r="O8" s="82"/>
      <c r="P8" s="86">
        <v>1</v>
      </c>
      <c r="Q8" s="86">
        <v>1</v>
      </c>
      <c r="R8" s="86">
        <v>1</v>
      </c>
      <c r="S8" s="86">
        <v>1</v>
      </c>
      <c r="T8" s="86">
        <v>1</v>
      </c>
      <c r="U8" s="81"/>
      <c r="V8" s="82"/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1"/>
      <c r="AC8" s="82"/>
      <c r="AD8" s="86">
        <v>0</v>
      </c>
      <c r="AE8" s="86">
        <v>0</v>
      </c>
      <c r="AF8" s="86">
        <v>0</v>
      </c>
      <c r="AG8" s="86">
        <v>0</v>
      </c>
      <c r="AH8" s="86">
        <v>0</v>
      </c>
      <c r="AI8" s="81"/>
      <c r="AJ8" s="82"/>
      <c r="AK8" s="236">
        <f>IF(E8="unassigned",0,(COUNTIF(I8:T8,1)*$C$6)*F8)</f>
        <v>8</v>
      </c>
      <c r="AL8" s="237"/>
      <c r="AM8" s="237"/>
      <c r="AN8" s="237"/>
      <c r="AO8" s="237"/>
      <c r="AP8" s="238"/>
    </row>
    <row r="9" spans="2:42" ht="13" thickBot="1" x14ac:dyDescent="0.3">
      <c r="B9" s="83" t="s">
        <v>43</v>
      </c>
      <c r="C9" s="75">
        <f>SUM(AK8:AP25)</f>
        <v>40</v>
      </c>
      <c r="D9" s="84"/>
      <c r="E9" s="18" t="s">
        <v>152</v>
      </c>
      <c r="F9" s="85">
        <v>0.8</v>
      </c>
      <c r="G9" s="79">
        <f>SUMIF(Sprint!$F$4:$F$1848,E9,Sprint!$CU$4:$CU$1848)</f>
        <v>0</v>
      </c>
      <c r="H9" s="80"/>
      <c r="I9" s="86">
        <v>1</v>
      </c>
      <c r="J9" s="86">
        <v>1</v>
      </c>
      <c r="K9" s="86">
        <v>1</v>
      </c>
      <c r="L9" s="86">
        <v>1</v>
      </c>
      <c r="M9" s="86">
        <v>1</v>
      </c>
      <c r="N9" s="87"/>
      <c r="O9" s="88"/>
      <c r="P9" s="86">
        <v>1</v>
      </c>
      <c r="Q9" s="86">
        <v>1</v>
      </c>
      <c r="R9" s="86">
        <v>1</v>
      </c>
      <c r="S9" s="86">
        <v>1</v>
      </c>
      <c r="T9" s="86">
        <v>1</v>
      </c>
      <c r="U9" s="87"/>
      <c r="V9" s="88"/>
      <c r="W9" s="86">
        <v>0</v>
      </c>
      <c r="X9" s="86">
        <v>0</v>
      </c>
      <c r="Y9" s="86">
        <v>0</v>
      </c>
      <c r="Z9" s="86">
        <v>0</v>
      </c>
      <c r="AA9" s="86">
        <v>0</v>
      </c>
      <c r="AB9" s="87"/>
      <c r="AC9" s="88"/>
      <c r="AD9" s="86">
        <v>0</v>
      </c>
      <c r="AE9" s="86">
        <v>0</v>
      </c>
      <c r="AF9" s="86">
        <v>0</v>
      </c>
      <c r="AG9" s="86">
        <v>0</v>
      </c>
      <c r="AH9" s="86">
        <v>0</v>
      </c>
      <c r="AI9" s="87"/>
      <c r="AJ9" s="88"/>
      <c r="AK9" s="236">
        <f t="shared" ref="AK9:AK12" si="9">IF(E9="unassigned",0,(COUNTIF(I9:T9,1)*$C$6)*F9)</f>
        <v>8</v>
      </c>
      <c r="AL9" s="237"/>
      <c r="AM9" s="237"/>
      <c r="AN9" s="237"/>
      <c r="AO9" s="237"/>
      <c r="AP9" s="238"/>
    </row>
    <row r="10" spans="2:42" ht="13" thickBot="1" x14ac:dyDescent="0.3">
      <c r="B10" s="89" t="s">
        <v>44</v>
      </c>
      <c r="C10" s="90">
        <f>C8-C9</f>
        <v>-40</v>
      </c>
      <c r="D10" s="58"/>
      <c r="E10" s="18" t="s">
        <v>156</v>
      </c>
      <c r="F10" s="85">
        <v>0.8</v>
      </c>
      <c r="G10" s="79">
        <f>SUMIF(Sprint!$F$4:$F$1848,E10,Sprint!$CU$4:$CU$1848)</f>
        <v>0</v>
      </c>
      <c r="H10" s="80"/>
      <c r="I10" s="86">
        <v>1</v>
      </c>
      <c r="J10" s="86">
        <v>1</v>
      </c>
      <c r="K10" s="86">
        <v>1</v>
      </c>
      <c r="L10" s="86">
        <v>1</v>
      </c>
      <c r="M10" s="86">
        <v>1</v>
      </c>
      <c r="N10" s="87"/>
      <c r="O10" s="88"/>
      <c r="P10" s="86">
        <v>1</v>
      </c>
      <c r="Q10" s="86">
        <v>1</v>
      </c>
      <c r="R10" s="86">
        <v>1</v>
      </c>
      <c r="S10" s="86">
        <v>1</v>
      </c>
      <c r="T10" s="86">
        <v>1</v>
      </c>
      <c r="U10" s="87"/>
      <c r="V10" s="88"/>
      <c r="W10" s="86">
        <v>0</v>
      </c>
      <c r="X10" s="86">
        <v>0</v>
      </c>
      <c r="Y10" s="86">
        <v>0</v>
      </c>
      <c r="Z10" s="86">
        <v>0</v>
      </c>
      <c r="AA10" s="86">
        <v>0</v>
      </c>
      <c r="AB10" s="87"/>
      <c r="AC10" s="88"/>
      <c r="AD10" s="86">
        <v>0</v>
      </c>
      <c r="AE10" s="86">
        <v>0</v>
      </c>
      <c r="AF10" s="86">
        <v>0</v>
      </c>
      <c r="AG10" s="86">
        <v>0</v>
      </c>
      <c r="AH10" s="86">
        <v>0</v>
      </c>
      <c r="AI10" s="87"/>
      <c r="AJ10" s="88"/>
      <c r="AK10" s="236">
        <f t="shared" si="9"/>
        <v>8</v>
      </c>
      <c r="AL10" s="237"/>
      <c r="AM10" s="237"/>
      <c r="AN10" s="237"/>
      <c r="AO10" s="237"/>
      <c r="AP10" s="238"/>
    </row>
    <row r="11" spans="2:42" ht="13" thickBot="1" x14ac:dyDescent="0.3">
      <c r="B11" s="91"/>
      <c r="D11" s="92"/>
      <c r="E11" s="18" t="s">
        <v>153</v>
      </c>
      <c r="F11" s="85">
        <v>0.8</v>
      </c>
      <c r="G11" s="79">
        <f>SUMIF(Sprint!$F$4:$F$1848,E11,Sprint!$CU$4:$CU$1848)</f>
        <v>0</v>
      </c>
      <c r="H11" s="80"/>
      <c r="I11" s="86">
        <v>1</v>
      </c>
      <c r="J11" s="86">
        <v>1</v>
      </c>
      <c r="K11" s="86">
        <v>1</v>
      </c>
      <c r="L11" s="86">
        <v>1</v>
      </c>
      <c r="M11" s="86">
        <v>1</v>
      </c>
      <c r="N11" s="87"/>
      <c r="O11" s="88"/>
      <c r="P11" s="86">
        <v>1</v>
      </c>
      <c r="Q11" s="86">
        <v>1</v>
      </c>
      <c r="R11" s="86">
        <v>1</v>
      </c>
      <c r="S11" s="86">
        <v>1</v>
      </c>
      <c r="T11" s="86">
        <v>1</v>
      </c>
      <c r="U11" s="87"/>
      <c r="V11" s="88"/>
      <c r="W11" s="86">
        <v>0</v>
      </c>
      <c r="X11" s="86">
        <v>0</v>
      </c>
      <c r="Y11" s="86">
        <v>0</v>
      </c>
      <c r="Z11" s="86">
        <v>0</v>
      </c>
      <c r="AA11" s="86">
        <v>0</v>
      </c>
      <c r="AB11" s="87"/>
      <c r="AC11" s="88"/>
      <c r="AD11" s="86">
        <v>0</v>
      </c>
      <c r="AE11" s="86">
        <v>0</v>
      </c>
      <c r="AF11" s="86">
        <v>0</v>
      </c>
      <c r="AG11" s="86">
        <v>0</v>
      </c>
      <c r="AH11" s="86">
        <v>0</v>
      </c>
      <c r="AI11" s="87"/>
      <c r="AJ11" s="88"/>
      <c r="AK11" s="236">
        <f t="shared" si="9"/>
        <v>8</v>
      </c>
      <c r="AL11" s="237"/>
      <c r="AM11" s="237"/>
      <c r="AN11" s="237"/>
      <c r="AO11" s="237"/>
      <c r="AP11" s="238"/>
    </row>
    <row r="12" spans="2:42" ht="13" thickBot="1" x14ac:dyDescent="0.3">
      <c r="B12" s="91"/>
      <c r="D12" s="92"/>
      <c r="E12" s="18" t="s">
        <v>154</v>
      </c>
      <c r="F12" s="85">
        <v>0.8</v>
      </c>
      <c r="G12" s="79">
        <f>SUMIF(Sprint!$F$4:$F$1848,E12,Sprint!$CU$4:$CU$1848)</f>
        <v>0</v>
      </c>
      <c r="H12" s="80"/>
      <c r="I12" s="86">
        <v>1</v>
      </c>
      <c r="J12" s="86">
        <v>1</v>
      </c>
      <c r="K12" s="86">
        <v>1</v>
      </c>
      <c r="L12" s="86">
        <v>1</v>
      </c>
      <c r="M12" s="86">
        <v>1</v>
      </c>
      <c r="N12" s="87"/>
      <c r="O12" s="88"/>
      <c r="P12" s="86">
        <v>1</v>
      </c>
      <c r="Q12" s="86">
        <v>1</v>
      </c>
      <c r="R12" s="86">
        <v>1</v>
      </c>
      <c r="S12" s="86">
        <v>1</v>
      </c>
      <c r="T12" s="86">
        <v>1</v>
      </c>
      <c r="U12" s="87"/>
      <c r="V12" s="88"/>
      <c r="W12" s="86">
        <v>0</v>
      </c>
      <c r="X12" s="86">
        <v>0</v>
      </c>
      <c r="Y12" s="86">
        <v>0</v>
      </c>
      <c r="Z12" s="86">
        <v>0</v>
      </c>
      <c r="AA12" s="86">
        <v>0</v>
      </c>
      <c r="AB12" s="87"/>
      <c r="AC12" s="88"/>
      <c r="AD12" s="86">
        <v>0</v>
      </c>
      <c r="AE12" s="86">
        <v>0</v>
      </c>
      <c r="AF12" s="86">
        <v>0</v>
      </c>
      <c r="AG12" s="86">
        <v>0</v>
      </c>
      <c r="AH12" s="86">
        <v>0</v>
      </c>
      <c r="AI12" s="87"/>
      <c r="AJ12" s="88"/>
      <c r="AK12" s="236">
        <f t="shared" si="9"/>
        <v>8</v>
      </c>
      <c r="AL12" s="237"/>
      <c r="AM12" s="237"/>
      <c r="AN12" s="237"/>
      <c r="AO12" s="237"/>
      <c r="AP12" s="238"/>
    </row>
    <row r="13" spans="2:42" ht="13" thickBot="1" x14ac:dyDescent="0.3">
      <c r="B13" s="91"/>
      <c r="E13" s="18"/>
      <c r="F13" s="85">
        <v>0</v>
      </c>
      <c r="G13" s="79">
        <f>SUMIF(Sprint!$F$4:$F$1848,E13,Sprint!$CU$4:$CU$1848)</f>
        <v>0</v>
      </c>
      <c r="H13" s="80"/>
      <c r="I13" s="86">
        <v>0</v>
      </c>
      <c r="J13" s="86">
        <v>0</v>
      </c>
      <c r="K13" s="86">
        <v>0</v>
      </c>
      <c r="L13" s="86">
        <v>0</v>
      </c>
      <c r="M13" s="86">
        <v>0</v>
      </c>
      <c r="N13" s="87"/>
      <c r="O13" s="88"/>
      <c r="P13" s="86">
        <v>0</v>
      </c>
      <c r="Q13" s="86">
        <v>0</v>
      </c>
      <c r="R13" s="86">
        <v>0</v>
      </c>
      <c r="S13" s="86">
        <v>0</v>
      </c>
      <c r="T13" s="86">
        <v>0</v>
      </c>
      <c r="U13" s="87"/>
      <c r="V13" s="88"/>
      <c r="W13" s="86">
        <v>0</v>
      </c>
      <c r="X13" s="86">
        <v>0</v>
      </c>
      <c r="Y13" s="86">
        <v>0</v>
      </c>
      <c r="Z13" s="86">
        <v>0</v>
      </c>
      <c r="AA13" s="86">
        <v>0</v>
      </c>
      <c r="AB13" s="87"/>
      <c r="AC13" s="88"/>
      <c r="AD13" s="86">
        <v>0</v>
      </c>
      <c r="AE13" s="86">
        <v>0</v>
      </c>
      <c r="AF13" s="86">
        <v>0</v>
      </c>
      <c r="AG13" s="86">
        <v>0</v>
      </c>
      <c r="AH13" s="86">
        <v>0</v>
      </c>
      <c r="AI13" s="87"/>
      <c r="AJ13" s="88"/>
      <c r="AK13" s="236">
        <f t="shared" ref="AK13:AK25" si="10">IF(E13="unassigned",0,(COUNTIF(I13:T13,1)*$C$6)*F13)</f>
        <v>0</v>
      </c>
      <c r="AL13" s="237"/>
      <c r="AM13" s="237"/>
      <c r="AN13" s="237"/>
      <c r="AO13" s="237"/>
      <c r="AP13" s="238"/>
    </row>
    <row r="14" spans="2:42" ht="13" thickBot="1" x14ac:dyDescent="0.3">
      <c r="B14" s="91"/>
      <c r="D14" s="58"/>
      <c r="E14" s="18"/>
      <c r="F14" s="85">
        <v>0</v>
      </c>
      <c r="G14" s="79">
        <f>SUMIF(Sprint!$F$4:$F$1848,E14,Sprint!$CU$4:$CU$1848)</f>
        <v>0</v>
      </c>
      <c r="H14" s="80"/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87"/>
      <c r="O14" s="88"/>
      <c r="P14" s="86">
        <v>0</v>
      </c>
      <c r="Q14" s="86">
        <v>0</v>
      </c>
      <c r="R14" s="86">
        <v>0</v>
      </c>
      <c r="S14" s="86">
        <v>0</v>
      </c>
      <c r="T14" s="86">
        <v>0</v>
      </c>
      <c r="U14" s="87"/>
      <c r="V14" s="88"/>
      <c r="W14" s="86">
        <v>0</v>
      </c>
      <c r="X14" s="86">
        <v>0</v>
      </c>
      <c r="Y14" s="86">
        <v>0</v>
      </c>
      <c r="Z14" s="86">
        <v>0</v>
      </c>
      <c r="AA14" s="86">
        <v>0</v>
      </c>
      <c r="AB14" s="87"/>
      <c r="AC14" s="88"/>
      <c r="AD14" s="86">
        <v>0</v>
      </c>
      <c r="AE14" s="86">
        <v>0</v>
      </c>
      <c r="AF14" s="86">
        <v>0</v>
      </c>
      <c r="AG14" s="86">
        <v>0</v>
      </c>
      <c r="AH14" s="86">
        <v>0</v>
      </c>
      <c r="AI14" s="87"/>
      <c r="AJ14" s="88"/>
      <c r="AK14" s="236">
        <f t="shared" si="10"/>
        <v>0</v>
      </c>
      <c r="AL14" s="237"/>
      <c r="AM14" s="237"/>
      <c r="AN14" s="237"/>
      <c r="AO14" s="237"/>
      <c r="AP14" s="238"/>
    </row>
    <row r="15" spans="2:42" ht="13" thickBot="1" x14ac:dyDescent="0.3">
      <c r="B15" s="91"/>
      <c r="D15" s="58"/>
      <c r="E15" s="18"/>
      <c r="F15" s="85">
        <v>0</v>
      </c>
      <c r="G15" s="79">
        <f>SUMIF(Sprint!$F$4:$F$1848,E15,Sprint!$CU$4:$CU$1848)</f>
        <v>0</v>
      </c>
      <c r="H15" s="80"/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87"/>
      <c r="O15" s="88"/>
      <c r="P15" s="86">
        <v>0</v>
      </c>
      <c r="Q15" s="86">
        <v>0</v>
      </c>
      <c r="R15" s="86">
        <v>0</v>
      </c>
      <c r="S15" s="86">
        <v>0</v>
      </c>
      <c r="T15" s="86">
        <v>0</v>
      </c>
      <c r="U15" s="87"/>
      <c r="V15" s="88"/>
      <c r="W15" s="86">
        <v>0</v>
      </c>
      <c r="X15" s="86">
        <v>0</v>
      </c>
      <c r="Y15" s="86">
        <v>0</v>
      </c>
      <c r="Z15" s="86">
        <v>0</v>
      </c>
      <c r="AA15" s="86">
        <v>0</v>
      </c>
      <c r="AB15" s="87"/>
      <c r="AC15" s="88"/>
      <c r="AD15" s="86">
        <v>0</v>
      </c>
      <c r="AE15" s="86">
        <v>0</v>
      </c>
      <c r="AF15" s="86">
        <v>0</v>
      </c>
      <c r="AG15" s="86">
        <v>0</v>
      </c>
      <c r="AH15" s="86">
        <v>0</v>
      </c>
      <c r="AI15" s="87"/>
      <c r="AJ15" s="88"/>
      <c r="AK15" s="236">
        <f t="shared" si="10"/>
        <v>0</v>
      </c>
      <c r="AL15" s="237"/>
      <c r="AM15" s="237"/>
      <c r="AN15" s="237"/>
      <c r="AO15" s="237"/>
      <c r="AP15" s="238"/>
    </row>
    <row r="16" spans="2:42" ht="13" thickBot="1" x14ac:dyDescent="0.3">
      <c r="B16" s="91"/>
      <c r="E16" s="18"/>
      <c r="F16" s="85">
        <v>0</v>
      </c>
      <c r="G16" s="79">
        <f>SUMIF(Sprint!$F$4:$F$1848,E16,Sprint!$CU$4:$CU$1848)</f>
        <v>0</v>
      </c>
      <c r="H16" s="80"/>
      <c r="I16" s="86">
        <v>0</v>
      </c>
      <c r="J16" s="86">
        <v>0</v>
      </c>
      <c r="K16" s="86">
        <v>0</v>
      </c>
      <c r="L16" s="86">
        <v>0</v>
      </c>
      <c r="M16" s="86">
        <v>0</v>
      </c>
      <c r="N16" s="87"/>
      <c r="O16" s="88"/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7"/>
      <c r="V16" s="88"/>
      <c r="W16" s="86">
        <v>0</v>
      </c>
      <c r="X16" s="86">
        <v>0</v>
      </c>
      <c r="Y16" s="86">
        <v>0</v>
      </c>
      <c r="Z16" s="86">
        <v>0</v>
      </c>
      <c r="AA16" s="86">
        <v>0</v>
      </c>
      <c r="AB16" s="87"/>
      <c r="AC16" s="88"/>
      <c r="AD16" s="86">
        <v>0</v>
      </c>
      <c r="AE16" s="86">
        <v>0</v>
      </c>
      <c r="AF16" s="86">
        <v>0</v>
      </c>
      <c r="AG16" s="86">
        <v>0</v>
      </c>
      <c r="AH16" s="86">
        <v>0</v>
      </c>
      <c r="AI16" s="87"/>
      <c r="AJ16" s="88"/>
      <c r="AK16" s="236">
        <f t="shared" si="10"/>
        <v>0</v>
      </c>
      <c r="AL16" s="237"/>
      <c r="AM16" s="237"/>
      <c r="AN16" s="237"/>
      <c r="AO16" s="237"/>
      <c r="AP16" s="238"/>
    </row>
    <row r="17" spans="2:42" ht="13" thickBot="1" x14ac:dyDescent="0.3">
      <c r="B17" s="91"/>
      <c r="E17" s="18"/>
      <c r="F17" s="85">
        <v>0</v>
      </c>
      <c r="G17" s="79">
        <f>SUMIF(Sprint!$F$4:$F$1848,E17,Sprint!$CU$4:$CU$1848)</f>
        <v>0</v>
      </c>
      <c r="H17" s="93"/>
      <c r="I17" s="86">
        <v>0</v>
      </c>
      <c r="J17" s="86">
        <v>0</v>
      </c>
      <c r="K17" s="86">
        <v>0</v>
      </c>
      <c r="L17" s="86">
        <v>0</v>
      </c>
      <c r="M17" s="86">
        <v>0</v>
      </c>
      <c r="N17" s="87"/>
      <c r="O17" s="88"/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7"/>
      <c r="V17" s="88"/>
      <c r="W17" s="86">
        <v>0</v>
      </c>
      <c r="X17" s="86">
        <v>0</v>
      </c>
      <c r="Y17" s="86">
        <v>0</v>
      </c>
      <c r="Z17" s="86">
        <v>0</v>
      </c>
      <c r="AA17" s="86">
        <v>0</v>
      </c>
      <c r="AB17" s="87"/>
      <c r="AC17" s="88"/>
      <c r="AD17" s="86">
        <v>0</v>
      </c>
      <c r="AE17" s="86">
        <v>0</v>
      </c>
      <c r="AF17" s="86">
        <v>0</v>
      </c>
      <c r="AG17" s="86">
        <v>0</v>
      </c>
      <c r="AH17" s="86">
        <v>0</v>
      </c>
      <c r="AI17" s="87"/>
      <c r="AJ17" s="88"/>
      <c r="AK17" s="236">
        <f t="shared" si="10"/>
        <v>0</v>
      </c>
      <c r="AL17" s="237"/>
      <c r="AM17" s="237"/>
      <c r="AN17" s="237"/>
      <c r="AO17" s="237"/>
      <c r="AP17" s="238"/>
    </row>
    <row r="18" spans="2:42" ht="13" thickBot="1" x14ac:dyDescent="0.3">
      <c r="B18" s="91"/>
      <c r="E18" s="18"/>
      <c r="F18" s="85">
        <v>0</v>
      </c>
      <c r="G18" s="79">
        <f>SUMIF(Sprint!$F$4:$F$1848,E18,Sprint!$CU$4:$CU$1848)</f>
        <v>0</v>
      </c>
      <c r="H18" s="93"/>
      <c r="I18" s="86">
        <v>0</v>
      </c>
      <c r="J18" s="86">
        <v>0</v>
      </c>
      <c r="K18" s="86">
        <v>0</v>
      </c>
      <c r="L18" s="86">
        <v>0</v>
      </c>
      <c r="M18" s="86">
        <v>0</v>
      </c>
      <c r="N18" s="87"/>
      <c r="O18" s="88"/>
      <c r="P18" s="86">
        <v>0</v>
      </c>
      <c r="Q18" s="86">
        <v>0</v>
      </c>
      <c r="R18" s="86">
        <v>0</v>
      </c>
      <c r="S18" s="86">
        <v>0</v>
      </c>
      <c r="T18" s="86">
        <v>0</v>
      </c>
      <c r="U18" s="87"/>
      <c r="V18" s="88"/>
      <c r="W18" s="86">
        <v>0</v>
      </c>
      <c r="X18" s="86">
        <v>0</v>
      </c>
      <c r="Y18" s="86">
        <v>0</v>
      </c>
      <c r="Z18" s="86">
        <v>0</v>
      </c>
      <c r="AA18" s="86">
        <v>0</v>
      </c>
      <c r="AB18" s="87"/>
      <c r="AC18" s="88"/>
      <c r="AD18" s="86">
        <v>0</v>
      </c>
      <c r="AE18" s="86">
        <v>0</v>
      </c>
      <c r="AF18" s="86">
        <v>0</v>
      </c>
      <c r="AG18" s="86">
        <v>0</v>
      </c>
      <c r="AH18" s="86">
        <v>0</v>
      </c>
      <c r="AI18" s="87"/>
      <c r="AJ18" s="88"/>
      <c r="AK18" s="236">
        <f t="shared" si="10"/>
        <v>0</v>
      </c>
      <c r="AL18" s="237"/>
      <c r="AM18" s="237"/>
      <c r="AN18" s="237"/>
      <c r="AO18" s="237"/>
      <c r="AP18" s="238"/>
    </row>
    <row r="19" spans="2:42" ht="13" thickBot="1" x14ac:dyDescent="0.3">
      <c r="B19" s="91"/>
      <c r="E19" s="18"/>
      <c r="F19" s="85">
        <v>0</v>
      </c>
      <c r="G19" s="79">
        <f>SUMIF(Sprint!$F$4:$F$1848,E19,Sprint!$CU$4:$CU$1848)</f>
        <v>0</v>
      </c>
      <c r="H19" s="93"/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87"/>
      <c r="O19" s="88"/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7"/>
      <c r="V19" s="88"/>
      <c r="W19" s="86">
        <v>0</v>
      </c>
      <c r="X19" s="86">
        <v>0</v>
      </c>
      <c r="Y19" s="86">
        <v>0</v>
      </c>
      <c r="Z19" s="86">
        <v>0</v>
      </c>
      <c r="AA19" s="86">
        <v>0</v>
      </c>
      <c r="AB19" s="87"/>
      <c r="AC19" s="88"/>
      <c r="AD19" s="86">
        <v>0</v>
      </c>
      <c r="AE19" s="86">
        <v>0</v>
      </c>
      <c r="AF19" s="86">
        <v>0</v>
      </c>
      <c r="AG19" s="86">
        <v>0</v>
      </c>
      <c r="AH19" s="86">
        <v>0</v>
      </c>
      <c r="AI19" s="87"/>
      <c r="AJ19" s="88"/>
      <c r="AK19" s="236">
        <f t="shared" si="10"/>
        <v>0</v>
      </c>
      <c r="AL19" s="237"/>
      <c r="AM19" s="237"/>
      <c r="AN19" s="237"/>
      <c r="AO19" s="237"/>
      <c r="AP19" s="238"/>
    </row>
    <row r="20" spans="2:42" ht="13" thickBot="1" x14ac:dyDescent="0.3">
      <c r="B20" s="91"/>
      <c r="E20" s="18"/>
      <c r="F20" s="85"/>
      <c r="G20" s="79">
        <f>SUMIF(Sprint!$F$4:$F$1848,E20,Sprint!$CU$4:$CU$1848)</f>
        <v>0</v>
      </c>
      <c r="H20" s="93"/>
      <c r="I20" s="86">
        <f t="shared" ref="I20:J20" si="11">IF(I$6&lt;$E$3,0,IF(ISBLANK($E20),0,IF(I$6&lt;$E$2,0,1)))</f>
        <v>0</v>
      </c>
      <c r="J20" s="86">
        <f t="shared" si="11"/>
        <v>0</v>
      </c>
      <c r="K20" s="86">
        <f t="shared" ref="K20:M23" si="12">IF(K$6&lt;$E$3,0,IF(ISBLANK($E20),0,IF(K$6&lt;$E$2,0,1)))</f>
        <v>0</v>
      </c>
      <c r="L20" s="86">
        <f t="shared" si="12"/>
        <v>0</v>
      </c>
      <c r="M20" s="86">
        <f t="shared" si="12"/>
        <v>0</v>
      </c>
      <c r="N20" s="87"/>
      <c r="O20" s="88"/>
      <c r="P20" s="86">
        <f t="shared" ref="P20:S20" si="13">IF(P$6&lt;$E$3,0,IF(ISBLANK($E20),0,IF(P$6&lt;$E$2,0,1)))</f>
        <v>0</v>
      </c>
      <c r="Q20" s="86">
        <f t="shared" si="13"/>
        <v>0</v>
      </c>
      <c r="R20" s="86">
        <f t="shared" si="13"/>
        <v>0</v>
      </c>
      <c r="S20" s="86">
        <f t="shared" si="13"/>
        <v>0</v>
      </c>
      <c r="T20" s="86">
        <v>1</v>
      </c>
      <c r="U20" s="87"/>
      <c r="V20" s="88"/>
      <c r="W20" s="86">
        <v>0</v>
      </c>
      <c r="X20" s="86">
        <f t="shared" ref="X20:AA20" si="14">IF(X$6&lt;$E$3,0,IF(ISBLANK($E20),0,IF(X$6&lt;$E$2,0,1)))</f>
        <v>0</v>
      </c>
      <c r="Y20" s="86">
        <f t="shared" si="14"/>
        <v>0</v>
      </c>
      <c r="Z20" s="86">
        <f t="shared" si="14"/>
        <v>0</v>
      </c>
      <c r="AA20" s="86">
        <f t="shared" si="14"/>
        <v>0</v>
      </c>
      <c r="AB20" s="87"/>
      <c r="AC20" s="88"/>
      <c r="AD20" s="86">
        <v>0</v>
      </c>
      <c r="AE20" s="86">
        <f t="shared" ref="AE20:AH25" si="15">IF(AE$6&lt;$E$3,0,IF(ISBLANK($E20),0,IF(AE$6&lt;$E$2,0,1)))</f>
        <v>0</v>
      </c>
      <c r="AF20" s="86">
        <f t="shared" si="15"/>
        <v>0</v>
      </c>
      <c r="AG20" s="86">
        <f t="shared" si="15"/>
        <v>0</v>
      </c>
      <c r="AH20" s="86">
        <f t="shared" si="15"/>
        <v>0</v>
      </c>
      <c r="AI20" s="87"/>
      <c r="AJ20" s="88"/>
      <c r="AK20" s="236">
        <f t="shared" si="10"/>
        <v>0</v>
      </c>
      <c r="AL20" s="237"/>
      <c r="AM20" s="237"/>
      <c r="AN20" s="237"/>
      <c r="AO20" s="237"/>
      <c r="AP20" s="238"/>
    </row>
    <row r="21" spans="2:42" ht="13" thickBot="1" x14ac:dyDescent="0.3">
      <c r="B21" s="91"/>
      <c r="C21" s="39"/>
      <c r="E21" s="18"/>
      <c r="F21" s="85"/>
      <c r="G21" s="79">
        <f>SUMIF(Sprint!$F$4:$F$1848,E21,Sprint!$CU$4:$CU$1848)</f>
        <v>0</v>
      </c>
      <c r="H21" s="93"/>
      <c r="I21" s="86">
        <f t="shared" ref="I21:J25" si="16">IF(I$6&lt;$E$3,0,IF(ISBLANK($E21),0,IF(I$6&lt;$E$2,0,1)))</f>
        <v>0</v>
      </c>
      <c r="J21" s="86">
        <f t="shared" si="16"/>
        <v>0</v>
      </c>
      <c r="K21" s="86">
        <f t="shared" si="12"/>
        <v>0</v>
      </c>
      <c r="L21" s="86">
        <f t="shared" si="12"/>
        <v>0</v>
      </c>
      <c r="M21" s="86">
        <f t="shared" si="12"/>
        <v>0</v>
      </c>
      <c r="N21" s="87"/>
      <c r="O21" s="88"/>
      <c r="P21" s="86">
        <f t="shared" ref="P21:Q25" si="17">IF(P$6&lt;$E$3,0,IF(ISBLANK($E21),0,IF(P$6&lt;$E$2,0,1)))</f>
        <v>0</v>
      </c>
      <c r="Q21" s="86">
        <f t="shared" si="17"/>
        <v>0</v>
      </c>
      <c r="R21" s="86">
        <f t="shared" ref="R21:S23" si="18">IF(R$6&lt;$E$3,0,IF(ISBLANK($E21),0,IF(R$6&lt;$E$2,0,1)))</f>
        <v>0</v>
      </c>
      <c r="S21" s="86">
        <f t="shared" si="18"/>
        <v>0</v>
      </c>
      <c r="T21" s="86">
        <v>1</v>
      </c>
      <c r="U21" s="87"/>
      <c r="V21" s="88"/>
      <c r="W21" s="86">
        <v>0</v>
      </c>
      <c r="X21" s="86">
        <f t="shared" ref="X21:AA23" si="19">IF(X$6&lt;$E$3,0,IF(ISBLANK($E21),0,IF(X$6&lt;$E$2,0,1)))</f>
        <v>0</v>
      </c>
      <c r="Y21" s="86">
        <f t="shared" si="19"/>
        <v>0</v>
      </c>
      <c r="Z21" s="86">
        <f t="shared" si="19"/>
        <v>0</v>
      </c>
      <c r="AA21" s="86">
        <f t="shared" si="19"/>
        <v>0</v>
      </c>
      <c r="AB21" s="87"/>
      <c r="AC21" s="88"/>
      <c r="AD21" s="86">
        <v>0</v>
      </c>
      <c r="AE21" s="86">
        <f t="shared" si="15"/>
        <v>0</v>
      </c>
      <c r="AF21" s="86">
        <f t="shared" si="15"/>
        <v>0</v>
      </c>
      <c r="AG21" s="86">
        <f t="shared" si="15"/>
        <v>0</v>
      </c>
      <c r="AH21" s="86">
        <f t="shared" si="15"/>
        <v>0</v>
      </c>
      <c r="AI21" s="87"/>
      <c r="AJ21" s="88"/>
      <c r="AK21" s="236">
        <f t="shared" si="10"/>
        <v>0</v>
      </c>
      <c r="AL21" s="237"/>
      <c r="AM21" s="237"/>
      <c r="AN21" s="237"/>
      <c r="AO21" s="237"/>
      <c r="AP21" s="238"/>
    </row>
    <row r="22" spans="2:42" ht="13" thickBot="1" x14ac:dyDescent="0.3">
      <c r="B22" s="66"/>
      <c r="C22" s="94"/>
      <c r="E22" s="18"/>
      <c r="F22" s="95"/>
      <c r="G22" s="79">
        <f>SUMIF(Sprint!$F$4:$F$1848,E22,Sprint!$CU$4:$CU$1848)</f>
        <v>0</v>
      </c>
      <c r="H22" s="93"/>
      <c r="I22" s="86">
        <f t="shared" si="16"/>
        <v>0</v>
      </c>
      <c r="J22" s="86">
        <f t="shared" si="16"/>
        <v>0</v>
      </c>
      <c r="K22" s="86">
        <f t="shared" si="12"/>
        <v>0</v>
      </c>
      <c r="L22" s="86">
        <f t="shared" si="12"/>
        <v>0</v>
      </c>
      <c r="M22" s="86">
        <f t="shared" si="12"/>
        <v>0</v>
      </c>
      <c r="N22" s="87"/>
      <c r="O22" s="88"/>
      <c r="P22" s="86">
        <f t="shared" si="17"/>
        <v>0</v>
      </c>
      <c r="Q22" s="86">
        <f t="shared" si="17"/>
        <v>0</v>
      </c>
      <c r="R22" s="86">
        <f t="shared" si="18"/>
        <v>0</v>
      </c>
      <c r="S22" s="86">
        <f t="shared" si="18"/>
        <v>0</v>
      </c>
      <c r="T22" s="86">
        <v>1</v>
      </c>
      <c r="U22" s="87"/>
      <c r="V22" s="88"/>
      <c r="W22" s="86">
        <v>0</v>
      </c>
      <c r="X22" s="86">
        <f t="shared" si="19"/>
        <v>0</v>
      </c>
      <c r="Y22" s="86">
        <f t="shared" si="19"/>
        <v>0</v>
      </c>
      <c r="Z22" s="86">
        <f t="shared" si="19"/>
        <v>0</v>
      </c>
      <c r="AA22" s="86">
        <f t="shared" si="19"/>
        <v>0</v>
      </c>
      <c r="AB22" s="87"/>
      <c r="AC22" s="88"/>
      <c r="AD22" s="86">
        <v>0</v>
      </c>
      <c r="AE22" s="86">
        <f t="shared" si="15"/>
        <v>0</v>
      </c>
      <c r="AF22" s="86">
        <f t="shared" si="15"/>
        <v>0</v>
      </c>
      <c r="AG22" s="86">
        <f t="shared" si="15"/>
        <v>0</v>
      </c>
      <c r="AH22" s="86">
        <f t="shared" si="15"/>
        <v>0</v>
      </c>
      <c r="AI22" s="87"/>
      <c r="AJ22" s="88"/>
      <c r="AK22" s="236">
        <f t="shared" si="10"/>
        <v>0</v>
      </c>
      <c r="AL22" s="237"/>
      <c r="AM22" s="237"/>
      <c r="AN22" s="237"/>
      <c r="AO22" s="237"/>
      <c r="AP22" s="238"/>
    </row>
    <row r="23" spans="2:42" ht="13" thickBot="1" x14ac:dyDescent="0.3">
      <c r="B23" s="66"/>
      <c r="E23" s="18"/>
      <c r="F23" s="95"/>
      <c r="G23" s="79">
        <f>SUMIF(Sprint!$F$4:$F$1848,E23,Sprint!$CU$4:$CU$1848)</f>
        <v>0</v>
      </c>
      <c r="H23" s="93"/>
      <c r="I23" s="86">
        <f t="shared" si="16"/>
        <v>0</v>
      </c>
      <c r="J23" s="86">
        <f t="shared" si="16"/>
        <v>0</v>
      </c>
      <c r="K23" s="86">
        <f t="shared" si="12"/>
        <v>0</v>
      </c>
      <c r="L23" s="86">
        <f t="shared" si="12"/>
        <v>0</v>
      </c>
      <c r="M23" s="86">
        <f t="shared" si="12"/>
        <v>0</v>
      </c>
      <c r="N23" s="87"/>
      <c r="O23" s="88"/>
      <c r="P23" s="86">
        <f t="shared" si="17"/>
        <v>0</v>
      </c>
      <c r="Q23" s="86">
        <f t="shared" si="17"/>
        <v>0</v>
      </c>
      <c r="R23" s="86">
        <f t="shared" si="18"/>
        <v>0</v>
      </c>
      <c r="S23" s="86">
        <f t="shared" si="18"/>
        <v>0</v>
      </c>
      <c r="T23" s="86">
        <v>1</v>
      </c>
      <c r="U23" s="87"/>
      <c r="V23" s="88"/>
      <c r="W23" s="86">
        <v>0</v>
      </c>
      <c r="X23" s="86">
        <f t="shared" si="19"/>
        <v>0</v>
      </c>
      <c r="Y23" s="86">
        <f t="shared" si="19"/>
        <v>0</v>
      </c>
      <c r="Z23" s="86">
        <f t="shared" si="19"/>
        <v>0</v>
      </c>
      <c r="AA23" s="86">
        <f t="shared" si="19"/>
        <v>0</v>
      </c>
      <c r="AB23" s="87"/>
      <c r="AC23" s="88"/>
      <c r="AD23" s="86">
        <v>0</v>
      </c>
      <c r="AE23" s="86">
        <f t="shared" si="15"/>
        <v>0</v>
      </c>
      <c r="AF23" s="86">
        <f t="shared" si="15"/>
        <v>0</v>
      </c>
      <c r="AG23" s="86">
        <f t="shared" si="15"/>
        <v>0</v>
      </c>
      <c r="AH23" s="86">
        <f t="shared" si="15"/>
        <v>0</v>
      </c>
      <c r="AI23" s="87"/>
      <c r="AJ23" s="88"/>
      <c r="AK23" s="236">
        <f t="shared" si="10"/>
        <v>0</v>
      </c>
      <c r="AL23" s="237"/>
      <c r="AM23" s="237"/>
      <c r="AN23" s="237"/>
      <c r="AO23" s="237"/>
      <c r="AP23" s="238"/>
    </row>
    <row r="24" spans="2:42" ht="13" thickBot="1" x14ac:dyDescent="0.3">
      <c r="B24" s="91"/>
      <c r="E24" s="18"/>
      <c r="F24" s="95"/>
      <c r="G24" s="79">
        <f>SUMIF(Sprint!$F$4:$F$1848,E24,Sprint!$CU$4:$CU$1848)</f>
        <v>0</v>
      </c>
      <c r="H24" s="93"/>
      <c r="I24" s="86">
        <f t="shared" si="16"/>
        <v>0</v>
      </c>
      <c r="J24" s="86">
        <f t="shared" si="16"/>
        <v>0</v>
      </c>
      <c r="K24" s="86">
        <f t="shared" ref="K24:M25" si="20">IF(K$6&lt;$E$3,0,IF(ISBLANK($E24),0,IF(K$6&lt;$E$2,0,1)))</f>
        <v>0</v>
      </c>
      <c r="L24" s="86">
        <f t="shared" si="20"/>
        <v>0</v>
      </c>
      <c r="M24" s="86">
        <f t="shared" si="20"/>
        <v>0</v>
      </c>
      <c r="N24" s="87"/>
      <c r="O24" s="88"/>
      <c r="P24" s="86">
        <f t="shared" si="17"/>
        <v>0</v>
      </c>
      <c r="Q24" s="86">
        <f t="shared" si="17"/>
        <v>0</v>
      </c>
      <c r="R24" s="86">
        <f t="shared" ref="R24:S25" si="21">IF(R$6&lt;$E$3,0,IF(ISBLANK($E24),0,IF(R$6&lt;$E$2,0,1)))</f>
        <v>0</v>
      </c>
      <c r="S24" s="86">
        <f t="shared" si="21"/>
        <v>0</v>
      </c>
      <c r="T24" s="86">
        <v>1</v>
      </c>
      <c r="U24" s="87"/>
      <c r="V24" s="88"/>
      <c r="W24" s="86">
        <v>0</v>
      </c>
      <c r="X24" s="86">
        <f>IF(X$6&lt;$E$3,0,IF(ISBLANK($E24),0,IF(X$6&lt;$E$2,0,1)))</f>
        <v>0</v>
      </c>
      <c r="Y24" s="86">
        <f t="shared" ref="Y24:AA25" si="22">IF(Y$6&lt;$E$3,0,IF(ISBLANK($E24),0,IF(Y$6&lt;$E$2,0,1)))</f>
        <v>0</v>
      </c>
      <c r="Z24" s="86">
        <f t="shared" si="22"/>
        <v>0</v>
      </c>
      <c r="AA24" s="86">
        <f t="shared" si="22"/>
        <v>0</v>
      </c>
      <c r="AB24" s="87"/>
      <c r="AC24" s="88"/>
      <c r="AD24" s="86">
        <v>0</v>
      </c>
      <c r="AE24" s="86">
        <f>IF(AE$6&lt;$E$3,0,IF(ISBLANK($E24),0,IF(AE$6&lt;$E$2,0,1)))</f>
        <v>0</v>
      </c>
      <c r="AF24" s="86">
        <f t="shared" si="15"/>
        <v>0</v>
      </c>
      <c r="AG24" s="86">
        <f t="shared" si="15"/>
        <v>0</v>
      </c>
      <c r="AH24" s="86">
        <f t="shared" si="15"/>
        <v>0</v>
      </c>
      <c r="AI24" s="87"/>
      <c r="AJ24" s="88"/>
      <c r="AK24" s="236">
        <f t="shared" si="10"/>
        <v>0</v>
      </c>
      <c r="AL24" s="237"/>
      <c r="AM24" s="237"/>
      <c r="AN24" s="237"/>
      <c r="AO24" s="237"/>
      <c r="AP24" s="238"/>
    </row>
    <row r="25" spans="2:42" ht="13" thickBot="1" x14ac:dyDescent="0.3">
      <c r="B25" s="91"/>
      <c r="E25" s="96"/>
      <c r="F25" s="97"/>
      <c r="G25" s="79">
        <f>SUMIF(Sprint!$F$4:$F$1848,E25,Sprint!$CU$4:$CU$1848)</f>
        <v>0</v>
      </c>
      <c r="H25" s="93"/>
      <c r="I25" s="98">
        <f t="shared" si="16"/>
        <v>0</v>
      </c>
      <c r="J25" s="99">
        <f t="shared" si="16"/>
        <v>0</v>
      </c>
      <c r="K25" s="99">
        <f t="shared" si="20"/>
        <v>0</v>
      </c>
      <c r="L25" s="99">
        <f t="shared" si="20"/>
        <v>0</v>
      </c>
      <c r="M25" s="99">
        <f t="shared" si="20"/>
        <v>0</v>
      </c>
      <c r="N25" s="100"/>
      <c r="O25" s="101"/>
      <c r="P25" s="98">
        <f t="shared" si="17"/>
        <v>0</v>
      </c>
      <c r="Q25" s="99">
        <f t="shared" si="17"/>
        <v>0</v>
      </c>
      <c r="R25" s="99">
        <f t="shared" si="21"/>
        <v>0</v>
      </c>
      <c r="S25" s="99">
        <f t="shared" si="21"/>
        <v>0</v>
      </c>
      <c r="T25" s="99">
        <v>1</v>
      </c>
      <c r="U25" s="100"/>
      <c r="V25" s="101"/>
      <c r="W25" s="86">
        <v>0</v>
      </c>
      <c r="X25" s="99">
        <f>IF(X$6&lt;$E$3,0,IF(ISBLANK($E25),0,IF(X$6&lt;$E$2,0,1)))</f>
        <v>0</v>
      </c>
      <c r="Y25" s="99">
        <f t="shared" si="22"/>
        <v>0</v>
      </c>
      <c r="Z25" s="99">
        <f t="shared" si="22"/>
        <v>0</v>
      </c>
      <c r="AA25" s="99">
        <f t="shared" si="22"/>
        <v>0</v>
      </c>
      <c r="AB25" s="100"/>
      <c r="AC25" s="101"/>
      <c r="AD25" s="86">
        <v>0</v>
      </c>
      <c r="AE25" s="99">
        <f>IF(AE$6&lt;$E$3,0,IF(ISBLANK($E25),0,IF(AE$6&lt;$E$2,0,1)))</f>
        <v>0</v>
      </c>
      <c r="AF25" s="99">
        <f t="shared" si="15"/>
        <v>0</v>
      </c>
      <c r="AG25" s="99">
        <f t="shared" si="15"/>
        <v>0</v>
      </c>
      <c r="AH25" s="99">
        <f t="shared" si="15"/>
        <v>0</v>
      </c>
      <c r="AI25" s="100"/>
      <c r="AJ25" s="101"/>
      <c r="AK25" s="236">
        <f t="shared" si="10"/>
        <v>0</v>
      </c>
      <c r="AL25" s="237"/>
      <c r="AM25" s="237"/>
      <c r="AN25" s="237"/>
      <c r="AO25" s="237"/>
      <c r="AP25" s="238"/>
    </row>
    <row r="26" spans="2:42" x14ac:dyDescent="0.25">
      <c r="B26" s="91"/>
      <c r="E26" s="102"/>
      <c r="G26" s="103"/>
      <c r="I26" s="104"/>
      <c r="J26" s="105"/>
      <c r="K26" s="105"/>
      <c r="L26" s="105"/>
      <c r="M26" s="105"/>
      <c r="N26" s="106"/>
      <c r="O26" s="106"/>
      <c r="P26" s="105"/>
      <c r="Q26" s="105"/>
      <c r="R26" s="105"/>
      <c r="S26" s="105"/>
      <c r="T26" s="105"/>
      <c r="U26" s="106"/>
      <c r="V26" s="106"/>
      <c r="W26" s="105"/>
      <c r="X26" s="105"/>
      <c r="Y26" s="105"/>
      <c r="Z26" s="105"/>
      <c r="AA26" s="105"/>
      <c r="AB26" s="106"/>
      <c r="AC26" s="106"/>
      <c r="AD26" s="105"/>
      <c r="AE26" s="105"/>
      <c r="AF26" s="105"/>
      <c r="AG26" s="105"/>
      <c r="AH26" s="105"/>
      <c r="AI26" s="106"/>
      <c r="AJ26" s="106"/>
      <c r="AK26" s="107"/>
      <c r="AL26" s="107"/>
      <c r="AM26" s="107"/>
      <c r="AN26" s="107"/>
      <c r="AO26" s="107"/>
      <c r="AP26" s="108"/>
    </row>
    <row r="27" spans="2:42" ht="13" thickBot="1" x14ac:dyDescent="0.3">
      <c r="B27" s="109"/>
      <c r="C27" s="110"/>
      <c r="D27" s="110"/>
      <c r="E27" s="111"/>
      <c r="F27" s="111"/>
      <c r="G27" s="112"/>
      <c r="I27" s="113"/>
      <c r="J27" s="111"/>
      <c r="K27" s="111"/>
      <c r="L27" s="111"/>
      <c r="M27" s="114"/>
      <c r="N27" s="114"/>
      <c r="O27" s="114"/>
      <c r="P27" s="114"/>
      <c r="Q27" s="114"/>
      <c r="R27" s="111"/>
      <c r="S27" s="111"/>
      <c r="T27" s="114"/>
      <c r="U27" s="114"/>
      <c r="V27" s="114"/>
      <c r="W27" s="114"/>
      <c r="X27" s="114"/>
      <c r="Y27" s="111"/>
      <c r="Z27" s="111"/>
      <c r="AA27" s="114"/>
      <c r="AB27" s="111"/>
      <c r="AC27" s="111"/>
      <c r="AD27" s="114"/>
      <c r="AE27" s="114"/>
      <c r="AF27" s="111"/>
      <c r="AG27" s="111"/>
      <c r="AH27" s="114"/>
      <c r="AI27" s="111"/>
      <c r="AJ27" s="111"/>
      <c r="AK27" s="111"/>
      <c r="AL27" s="111"/>
      <c r="AM27" s="111"/>
      <c r="AN27" s="111"/>
      <c r="AO27" s="111"/>
      <c r="AP27" s="112"/>
    </row>
    <row r="29" spans="2:42" x14ac:dyDescent="0.25">
      <c r="I29" s="115" t="s">
        <v>54</v>
      </c>
      <c r="J29" s="39" t="s">
        <v>45</v>
      </c>
      <c r="K29" s="39" t="s">
        <v>55</v>
      </c>
      <c r="Q29" s="115" t="s">
        <v>53</v>
      </c>
      <c r="R29" s="39" t="s">
        <v>45</v>
      </c>
      <c r="S29" s="39" t="s">
        <v>57</v>
      </c>
    </row>
    <row r="30" spans="2:42" x14ac:dyDescent="0.25">
      <c r="C30" s="116"/>
      <c r="D30" s="116"/>
    </row>
    <row r="31" spans="2:42" x14ac:dyDescent="0.25">
      <c r="C31" s="116"/>
      <c r="D31" s="116"/>
      <c r="E31" s="117"/>
      <c r="J31" s="6"/>
    </row>
    <row r="32" spans="2:42" x14ac:dyDescent="0.25">
      <c r="C32" s="116"/>
      <c r="D32" s="116"/>
      <c r="E32" s="117"/>
      <c r="F32" s="49"/>
    </row>
    <row r="37" spans="2:33" x14ac:dyDescent="0.25">
      <c r="I37" s="118"/>
    </row>
    <row r="38" spans="2:33" x14ac:dyDescent="0.25">
      <c r="J38" s="119"/>
      <c r="K38" s="102"/>
      <c r="L38" s="102"/>
      <c r="M38" s="102"/>
      <c r="N38" s="102"/>
      <c r="O38" s="102"/>
      <c r="Q38" s="119"/>
      <c r="R38" s="102"/>
      <c r="S38" s="102"/>
      <c r="T38" s="102"/>
      <c r="U38" s="102"/>
      <c r="V38" s="102"/>
      <c r="X38" s="102"/>
      <c r="Y38" s="120"/>
      <c r="Z38" s="102"/>
      <c r="AE38" s="102"/>
      <c r="AF38" s="120"/>
      <c r="AG38" s="102"/>
    </row>
    <row r="40" spans="2:33" x14ac:dyDescent="0.25">
      <c r="E40" s="6"/>
    </row>
    <row r="45" spans="2:33" x14ac:dyDescent="0.25">
      <c r="B45" s="121"/>
      <c r="E45" s="118"/>
    </row>
  </sheetData>
  <mergeCells count="21"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  <mergeCell ref="B5:G5"/>
    <mergeCell ref="AK6:AP6"/>
    <mergeCell ref="AK12:AP12"/>
    <mergeCell ref="AK11:AP11"/>
    <mergeCell ref="AK7:AP7"/>
    <mergeCell ref="AK8:AP8"/>
    <mergeCell ref="AK9:AP9"/>
  </mergeCells>
  <phoneticPr fontId="0" type="noConversion"/>
  <conditionalFormatting sqref="G8:G25">
    <cfRule type="expression" dxfId="44" priority="25" stopIfTrue="1">
      <formula>G8&gt;AK8</formula>
    </cfRule>
  </conditionalFormatting>
  <conditionalFormatting sqref="W8:AA25 P8:T25 I8:M25">
    <cfRule type="cellIs" dxfId="43" priority="28" stopIfTrue="1" operator="equal">
      <formula>"H"</formula>
    </cfRule>
    <cfRule type="cellIs" dxfId="42" priority="29" stopIfTrue="1" operator="equal">
      <formula>"V"</formula>
    </cfRule>
    <cfRule type="expression" dxfId="41" priority="30" stopIfTrue="1">
      <formula>IF(I$6&lt;$E$2,1,0)</formula>
    </cfRule>
  </conditionalFormatting>
  <conditionalFormatting sqref="AL30:AL34 AL26:AL28 J32:J34 J26:J30 I26:I34 Q29 AB8:AC25 N8:O25 K26:O34 U8:V25 P26:S28 P30:S34 T26:AC34 AK26:AK34">
    <cfRule type="cellIs" dxfId="40" priority="36" stopIfTrue="1" operator="equal">
      <formula>"DIO"</formula>
    </cfRule>
    <cfRule type="cellIs" dxfId="39" priority="37" stopIfTrue="1" operator="equal">
      <formula>"H"</formula>
    </cfRule>
    <cfRule type="cellIs" dxfId="38" priority="38" stopIfTrue="1" operator="equal">
      <formula>"V"</formula>
    </cfRule>
  </conditionalFormatting>
  <conditionalFormatting sqref="W6 P6">
    <cfRule type="expression" dxfId="37" priority="44" stopIfTrue="1">
      <formula>P$6=TODAY()</formula>
    </cfRule>
    <cfRule type="expression" dxfId="36" priority="45" stopIfTrue="1">
      <formula>IF((P$6+1-$E$3)=$F$6,1,0)</formula>
    </cfRule>
  </conditionalFormatting>
  <conditionalFormatting sqref="J6:O6 Q6:V6 X6:AC6">
    <cfRule type="expression" dxfId="35" priority="46" stopIfTrue="1">
      <formula>J$6=TODAY()</formula>
    </cfRule>
    <cfRule type="expression" dxfId="34" priority="47" stopIfTrue="1">
      <formula>IF((J$6+1-$E$3)=$F$6,1,0)</formula>
    </cfRule>
  </conditionalFormatting>
  <conditionalFormatting sqref="I6">
    <cfRule type="expression" dxfId="33" priority="48" stopIfTrue="1">
      <formula>I$6=TODAY()</formula>
    </cfRule>
    <cfRule type="expression" dxfId="32" priority="49" stopIfTrue="1">
      <formula>IF((J$6+1-$E$3)=$F$6,1,0)</formula>
    </cfRule>
  </conditionalFormatting>
  <conditionalFormatting sqref="C10">
    <cfRule type="cellIs" dxfId="31" priority="31" stopIfTrue="1" operator="greaterThan">
      <formula>0</formula>
    </cfRule>
    <cfRule type="cellIs" dxfId="30" priority="32" stopIfTrue="1" operator="lessThanOrEqual">
      <formula>0</formula>
    </cfRule>
  </conditionalFormatting>
  <conditionalFormatting sqref="C22 D14:D15 D6:D12 C6:C9">
    <cfRule type="cellIs" dxfId="29" priority="33" stopIfTrue="1" operator="equal">
      <formula>"3A"</formula>
    </cfRule>
    <cfRule type="cellIs" dxfId="28" priority="34" stopIfTrue="1" operator="equal">
      <formula>"3B"</formula>
    </cfRule>
  </conditionalFormatting>
  <conditionalFormatting sqref="G32:G34 G6">
    <cfRule type="cellIs" dxfId="27" priority="35" stopIfTrue="1" operator="equal">
      <formula>"Done"</formula>
    </cfRule>
  </conditionalFormatting>
  <conditionalFormatting sqref="I7:K7 M7:AC7 AK7">
    <cfRule type="cellIs" dxfId="26" priority="39" stopIfTrue="1" operator="equal">
      <formula>"DIO"</formula>
    </cfRule>
    <cfRule type="cellIs" dxfId="25" priority="40" stopIfTrue="1" operator="equal">
      <formula>"H"</formula>
    </cfRule>
    <cfRule type="cellIs" dxfId="24" priority="41" stopIfTrue="1" operator="equal">
      <formula>"V"</formula>
    </cfRule>
  </conditionalFormatting>
  <conditionalFormatting sqref="L7">
    <cfRule type="cellIs" dxfId="23" priority="42" stopIfTrue="1" operator="equal">
      <formula>"DIO"</formula>
    </cfRule>
    <cfRule type="cellIs" dxfId="22" priority="43" stopIfTrue="1" operator="equal">
      <formula>"H"</formula>
    </cfRule>
  </conditionalFormatting>
  <conditionalFormatting sqref="F26:F27 F8:F10 F12:F21">
    <cfRule type="expression" dxfId="21" priority="86" stopIfTrue="1">
      <formula>H8&gt;AL8</formula>
    </cfRule>
  </conditionalFormatting>
  <conditionalFormatting sqref="F30:F33">
    <cfRule type="expression" dxfId="20" priority="88" stopIfTrue="1">
      <formula>H28&gt;AL28</formula>
    </cfRule>
  </conditionalFormatting>
  <conditionalFormatting sqref="F11">
    <cfRule type="expression" dxfId="19" priority="23" stopIfTrue="1">
      <formula>H11&gt;AL11</formula>
    </cfRule>
  </conditionalFormatting>
  <conditionalFormatting sqref="AD25:AH25">
    <cfRule type="cellIs" dxfId="18" priority="20" stopIfTrue="1" operator="equal">
      <formula>"H"</formula>
    </cfRule>
    <cfRule type="cellIs" dxfId="17" priority="21" stopIfTrue="1" operator="equal">
      <formula>"V"</formula>
    </cfRule>
    <cfRule type="expression" dxfId="16" priority="22" stopIfTrue="1">
      <formula>IF(AD$6&lt;$E$2,1,0)</formula>
    </cfRule>
  </conditionalFormatting>
  <conditionalFormatting sqref="AI8:AJ25 AD26:AJ34">
    <cfRule type="cellIs" dxfId="15" priority="17" stopIfTrue="1" operator="equal">
      <formula>"DIO"</formula>
    </cfRule>
    <cfRule type="cellIs" dxfId="14" priority="18" stopIfTrue="1" operator="equal">
      <formula>"H"</formula>
    </cfRule>
    <cfRule type="cellIs" dxfId="13" priority="19" stopIfTrue="1" operator="equal">
      <formula>"V"</formula>
    </cfRule>
  </conditionalFormatting>
  <conditionalFormatting sqref="AD6">
    <cfRule type="expression" dxfId="12" priority="15" stopIfTrue="1">
      <formula>AD$6=TODAY()</formula>
    </cfRule>
    <cfRule type="expression" dxfId="11" priority="16" stopIfTrue="1">
      <formula>IF((AD$6+1-$E$3)=$F$6,1,0)</formula>
    </cfRule>
  </conditionalFormatting>
  <conditionalFormatting sqref="AE6:AJ6">
    <cfRule type="expression" dxfId="10" priority="13" stopIfTrue="1">
      <formula>AE$6=TODAY()</formula>
    </cfRule>
    <cfRule type="expression" dxfId="9" priority="14" stopIfTrue="1">
      <formula>IF((AE$6+1-$E$3)=$F$6,1,0)</formula>
    </cfRule>
  </conditionalFormatting>
  <conditionalFormatting sqref="AD7:AJ7">
    <cfRule type="cellIs" dxfId="8" priority="10" stopIfTrue="1" operator="equal">
      <formula>"DIO"</formula>
    </cfRule>
    <cfRule type="cellIs" dxfId="7" priority="11" stopIfTrue="1" operator="equal">
      <formula>"H"</formula>
    </cfRule>
    <cfRule type="cellIs" dxfId="6" priority="12" stopIfTrue="1" operator="equal">
      <formula>"V"</formula>
    </cfRule>
  </conditionalFormatting>
  <conditionalFormatting sqref="AD8:AH12">
    <cfRule type="cellIs" dxfId="5" priority="4" stopIfTrue="1" operator="equal">
      <formula>"H"</formula>
    </cfRule>
    <cfRule type="cellIs" dxfId="4" priority="5" stopIfTrue="1" operator="equal">
      <formula>"V"</formula>
    </cfRule>
    <cfRule type="expression" dxfId="3" priority="6" stopIfTrue="1">
      <formula>IF(AD$6&lt;$E$2,1,0)</formula>
    </cfRule>
  </conditionalFormatting>
  <conditionalFormatting sqref="AD13:AH24">
    <cfRule type="cellIs" dxfId="2" priority="1" stopIfTrue="1" operator="equal">
      <formula>"H"</formula>
    </cfRule>
    <cfRule type="cellIs" dxfId="1" priority="2" stopIfTrue="1" operator="equal">
      <formula>"V"</formula>
    </cfRule>
    <cfRule type="expression" dxfId="0" priority="3" stopIfTrue="1">
      <formula>IF(AD$6&lt;$E$2,1,0)</formula>
    </cfRule>
  </conditionalFormatting>
  <dataValidations count="1">
    <dataValidation type="list" allowBlank="1" showInputMessage="1" showErrorMessage="1" sqref="B30 E8:E25" xr:uid="{00000000-0002-0000-04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1"/>
  <sheetViews>
    <sheetView zoomScaleNormal="100" workbookViewId="0">
      <selection activeCell="C12" sqref="C12"/>
    </sheetView>
  </sheetViews>
  <sheetFormatPr baseColWidth="10" defaultColWidth="8.81640625" defaultRowHeight="12.5" x14ac:dyDescent="0.25"/>
  <cols>
    <col min="1" max="1" width="2" bestFit="1" customWidth="1"/>
    <col min="2" max="2" width="25.7265625" customWidth="1"/>
    <col min="3" max="3" width="27.7265625" customWidth="1"/>
  </cols>
  <sheetData>
    <row r="1" spans="1:4" ht="13" x14ac:dyDescent="0.3">
      <c r="A1" t="s">
        <v>120</v>
      </c>
      <c r="B1" s="174" t="s">
        <v>116</v>
      </c>
      <c r="C1" s="174" t="s">
        <v>117</v>
      </c>
      <c r="D1" t="s">
        <v>1</v>
      </c>
    </row>
    <row r="2" spans="1:4" x14ac:dyDescent="0.25">
      <c r="A2">
        <v>1</v>
      </c>
      <c r="B2" s="173"/>
      <c r="C2" s="173"/>
      <c r="D2" s="168"/>
    </row>
    <row r="3" spans="1:4" x14ac:dyDescent="0.25">
      <c r="A3" s="168">
        <v>2</v>
      </c>
      <c r="B3" s="173"/>
      <c r="C3" s="173"/>
      <c r="D3" s="168"/>
    </row>
    <row r="4" spans="1:4" x14ac:dyDescent="0.25">
      <c r="B4" s="173"/>
      <c r="C4" s="173"/>
    </row>
    <row r="5" spans="1:4" x14ac:dyDescent="0.25">
      <c r="B5" s="173"/>
      <c r="C5" s="173"/>
      <c r="D5" s="168"/>
    </row>
    <row r="6" spans="1:4" x14ac:dyDescent="0.25">
      <c r="B6" s="173"/>
      <c r="C6" s="173"/>
      <c r="D6" s="168"/>
    </row>
    <row r="7" spans="1:4" x14ac:dyDescent="0.25">
      <c r="B7" s="173"/>
      <c r="C7" s="173"/>
    </row>
    <row r="9" spans="1:4" x14ac:dyDescent="0.25">
      <c r="B9" s="173"/>
    </row>
    <row r="11" spans="1:4" x14ac:dyDescent="0.25">
      <c r="B11" s="17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7"/>
  <sheetViews>
    <sheetView workbookViewId="0">
      <selection activeCell="D62" sqref="D62"/>
    </sheetView>
  </sheetViews>
  <sheetFormatPr baseColWidth="10" defaultColWidth="9.1796875" defaultRowHeight="12.5" x14ac:dyDescent="0.25"/>
  <cols>
    <col min="1" max="1" width="10.1796875" bestFit="1" customWidth="1"/>
    <col min="2" max="2" width="49.26953125" bestFit="1" customWidth="1"/>
    <col min="3" max="3" width="19" bestFit="1" customWidth="1"/>
    <col min="4" max="4" width="20.81640625" bestFit="1" customWidth="1"/>
  </cols>
  <sheetData>
    <row r="1" spans="1:4" ht="13" x14ac:dyDescent="0.3">
      <c r="A1" s="189" t="s">
        <v>122</v>
      </c>
      <c r="B1" s="189" t="s">
        <v>111</v>
      </c>
      <c r="C1" s="190" t="s">
        <v>112</v>
      </c>
      <c r="D1" s="190" t="s">
        <v>118</v>
      </c>
    </row>
    <row r="2" spans="1:4" x14ac:dyDescent="0.25">
      <c r="A2" s="191"/>
      <c r="B2" s="191"/>
      <c r="C2" s="192"/>
      <c r="D2" s="192">
        <v>0</v>
      </c>
    </row>
    <row r="3" spans="1:4" x14ac:dyDescent="0.25">
      <c r="A3" s="191"/>
      <c r="B3" s="191"/>
      <c r="C3" s="192"/>
      <c r="D3" s="192">
        <v>0</v>
      </c>
    </row>
    <row r="4" spans="1:4" x14ac:dyDescent="0.25">
      <c r="A4" s="168"/>
      <c r="B4" s="167"/>
      <c r="C4" s="167"/>
      <c r="D4" s="167"/>
    </row>
    <row r="5" spans="1:4" x14ac:dyDescent="0.25">
      <c r="A5" s="168"/>
      <c r="D5" s="168"/>
    </row>
    <row r="6" spans="1:4" x14ac:dyDescent="0.25">
      <c r="A6" s="168"/>
      <c r="D6" s="168"/>
    </row>
    <row r="7" spans="1:4" x14ac:dyDescent="0.25">
      <c r="A7" s="168"/>
      <c r="C7" s="175"/>
    </row>
    <row r="8" spans="1:4" x14ac:dyDescent="0.25">
      <c r="A8" s="168"/>
    </row>
    <row r="9" spans="1:4" x14ac:dyDescent="0.25">
      <c r="A9" s="168"/>
    </row>
    <row r="10" spans="1:4" x14ac:dyDescent="0.25">
      <c r="A10" s="168"/>
    </row>
    <row r="11" spans="1:4" x14ac:dyDescent="0.25">
      <c r="A11" s="168"/>
    </row>
    <row r="12" spans="1:4" x14ac:dyDescent="0.25">
      <c r="A12" s="168"/>
    </row>
    <row r="13" spans="1:4" x14ac:dyDescent="0.25">
      <c r="A13" s="168"/>
    </row>
    <row r="14" spans="1:4" x14ac:dyDescent="0.25">
      <c r="A14" s="168"/>
    </row>
    <row r="15" spans="1:4" x14ac:dyDescent="0.25">
      <c r="A15" s="168"/>
    </row>
    <row r="16" spans="1:4" x14ac:dyDescent="0.25">
      <c r="A16" s="168"/>
    </row>
    <row r="17" spans="1:1" x14ac:dyDescent="0.25">
      <c r="A17" s="16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8"/>
  <sheetViews>
    <sheetView workbookViewId="0">
      <selection activeCell="A9" sqref="A9"/>
    </sheetView>
  </sheetViews>
  <sheetFormatPr baseColWidth="10" defaultColWidth="8.81640625" defaultRowHeight="12.5" x14ac:dyDescent="0.25"/>
  <cols>
    <col min="1" max="1" width="102.453125" bestFit="1" customWidth="1"/>
  </cols>
  <sheetData>
    <row r="1" spans="1:2" x14ac:dyDescent="0.25">
      <c r="A1" s="168" t="s">
        <v>123</v>
      </c>
      <c r="B1" t="s">
        <v>1</v>
      </c>
    </row>
    <row r="2" spans="1:2" x14ac:dyDescent="0.25">
      <c r="A2" s="168"/>
    </row>
    <row r="3" spans="1:2" x14ac:dyDescent="0.25">
      <c r="A3" s="168"/>
    </row>
    <row r="4" spans="1:2" x14ac:dyDescent="0.25">
      <c r="A4" s="168"/>
    </row>
    <row r="5" spans="1:2" x14ac:dyDescent="0.25">
      <c r="A5" s="168"/>
    </row>
    <row r="6" spans="1:2" x14ac:dyDescent="0.25">
      <c r="A6" s="168"/>
    </row>
    <row r="7" spans="1:2" x14ac:dyDescent="0.25">
      <c r="A7" s="168"/>
    </row>
    <row r="8" spans="1:2" x14ac:dyDescent="0.25">
      <c r="A8" s="16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64"/>
  <sheetViews>
    <sheetView zoomScale="85" zoomScaleNormal="85" workbookViewId="0">
      <selection activeCell="C4" sqref="C4"/>
    </sheetView>
  </sheetViews>
  <sheetFormatPr baseColWidth="10" defaultColWidth="11.453125" defaultRowHeight="12.5" x14ac:dyDescent="0.25"/>
  <cols>
    <col min="1" max="1" width="11.453125" style="202"/>
    <col min="2" max="2" width="44" style="202" customWidth="1"/>
    <col min="3" max="3" width="46.81640625" style="209" customWidth="1"/>
    <col min="4" max="4" width="12.1796875" style="202" customWidth="1"/>
    <col min="5" max="5" width="19" style="202" customWidth="1"/>
    <col min="6" max="16384" width="11.453125" style="202"/>
  </cols>
  <sheetData>
    <row r="1" spans="1:5" s="204" customFormat="1" ht="39" x14ac:dyDescent="0.25">
      <c r="A1" s="203" t="s">
        <v>124</v>
      </c>
      <c r="B1" s="203" t="s">
        <v>127</v>
      </c>
      <c r="C1" s="206" t="s">
        <v>114</v>
      </c>
      <c r="D1" s="203" t="s">
        <v>126</v>
      </c>
      <c r="E1" s="203" t="s">
        <v>125</v>
      </c>
    </row>
    <row r="2" spans="1:5" s="204" customFormat="1" ht="13" x14ac:dyDescent="0.25">
      <c r="A2" s="201">
        <v>1</v>
      </c>
      <c r="B2" s="205" t="s">
        <v>133</v>
      </c>
      <c r="C2" s="207" t="s">
        <v>135</v>
      </c>
      <c r="D2" s="201">
        <v>1</v>
      </c>
      <c r="E2" s="205" t="s">
        <v>131</v>
      </c>
    </row>
    <row r="3" spans="1:5" s="204" customFormat="1" ht="25" x14ac:dyDescent="0.25">
      <c r="A3" s="201">
        <v>2</v>
      </c>
      <c r="B3" s="205" t="s">
        <v>134</v>
      </c>
      <c r="C3" s="207" t="s">
        <v>136</v>
      </c>
      <c r="D3" s="201">
        <v>2</v>
      </c>
      <c r="E3" s="205" t="s">
        <v>131</v>
      </c>
    </row>
    <row r="4" spans="1:5" ht="175" x14ac:dyDescent="0.25">
      <c r="A4" s="201">
        <v>3</v>
      </c>
      <c r="B4" s="205" t="s">
        <v>130</v>
      </c>
      <c r="C4" s="207" t="s">
        <v>132</v>
      </c>
      <c r="D4" s="201">
        <v>2</v>
      </c>
      <c r="E4" s="205" t="s">
        <v>131</v>
      </c>
    </row>
    <row r="5" spans="1:5" x14ac:dyDescent="0.25">
      <c r="A5" s="201"/>
      <c r="B5" s="201"/>
      <c r="C5" s="208"/>
      <c r="D5" s="201"/>
      <c r="E5" s="201"/>
    </row>
    <row r="6" spans="1:5" x14ac:dyDescent="0.25">
      <c r="A6" s="201"/>
      <c r="B6" s="201"/>
      <c r="C6" s="208"/>
      <c r="D6" s="201"/>
      <c r="E6" s="201"/>
    </row>
    <row r="7" spans="1:5" x14ac:dyDescent="0.25">
      <c r="A7" s="201"/>
      <c r="B7" s="201"/>
      <c r="C7" s="208"/>
      <c r="D7" s="201"/>
      <c r="E7" s="201"/>
    </row>
    <row r="8" spans="1:5" x14ac:dyDescent="0.25">
      <c r="A8" s="201"/>
      <c r="B8" s="201"/>
      <c r="C8" s="208"/>
      <c r="D8" s="201"/>
      <c r="E8" s="201"/>
    </row>
    <row r="9" spans="1:5" x14ac:dyDescent="0.25">
      <c r="A9" s="201"/>
      <c r="B9" s="201"/>
      <c r="C9" s="208"/>
      <c r="D9" s="201"/>
      <c r="E9" s="201"/>
    </row>
    <row r="10" spans="1:5" x14ac:dyDescent="0.25">
      <c r="A10" s="201"/>
      <c r="B10" s="201"/>
      <c r="C10" s="208"/>
      <c r="D10" s="201"/>
      <c r="E10" s="201"/>
    </row>
    <row r="11" spans="1:5" x14ac:dyDescent="0.25">
      <c r="A11" s="201"/>
      <c r="B11" s="201"/>
      <c r="C11" s="208"/>
      <c r="D11" s="201"/>
      <c r="E11" s="201"/>
    </row>
    <row r="12" spans="1:5" x14ac:dyDescent="0.25">
      <c r="A12" s="201"/>
      <c r="B12" s="201"/>
      <c r="C12" s="208"/>
      <c r="D12" s="201"/>
      <c r="E12" s="201"/>
    </row>
    <row r="13" spans="1:5" x14ac:dyDescent="0.25">
      <c r="A13" s="201"/>
      <c r="B13" s="201"/>
      <c r="C13" s="208"/>
      <c r="D13" s="201"/>
      <c r="E13" s="201"/>
    </row>
    <row r="14" spans="1:5" x14ac:dyDescent="0.25">
      <c r="A14" s="201"/>
      <c r="B14" s="201"/>
      <c r="C14" s="208"/>
      <c r="D14" s="201"/>
      <c r="E14" s="201"/>
    </row>
    <row r="15" spans="1:5" x14ac:dyDescent="0.25">
      <c r="A15" s="201"/>
      <c r="B15" s="201"/>
      <c r="C15" s="208"/>
      <c r="D15" s="201"/>
      <c r="E15" s="201"/>
    </row>
    <row r="16" spans="1:5" x14ac:dyDescent="0.25">
      <c r="A16" s="201"/>
      <c r="B16" s="201"/>
      <c r="C16" s="208"/>
      <c r="D16" s="201"/>
      <c r="E16" s="201"/>
    </row>
    <row r="17" spans="1:5" x14ac:dyDescent="0.25">
      <c r="A17" s="201"/>
      <c r="B17" s="201"/>
      <c r="C17" s="208"/>
      <c r="D17" s="201"/>
      <c r="E17" s="201"/>
    </row>
    <row r="18" spans="1:5" x14ac:dyDescent="0.25">
      <c r="A18" s="201"/>
      <c r="B18" s="201"/>
      <c r="C18" s="208"/>
      <c r="D18" s="201"/>
      <c r="E18" s="201"/>
    </row>
    <row r="19" spans="1:5" x14ac:dyDescent="0.25">
      <c r="A19" s="201"/>
      <c r="B19" s="205"/>
      <c r="C19" s="208"/>
      <c r="D19" s="201"/>
      <c r="E19" s="201"/>
    </row>
    <row r="20" spans="1:5" x14ac:dyDescent="0.25">
      <c r="A20" s="201"/>
      <c r="B20" s="201"/>
      <c r="C20" s="208"/>
      <c r="D20" s="201"/>
      <c r="E20" s="201"/>
    </row>
    <row r="21" spans="1:5" x14ac:dyDescent="0.25">
      <c r="A21" s="201"/>
      <c r="B21" s="201"/>
      <c r="C21" s="208"/>
      <c r="D21" s="201"/>
      <c r="E21" s="201"/>
    </row>
    <row r="22" spans="1:5" x14ac:dyDescent="0.25">
      <c r="A22" s="201"/>
      <c r="B22" s="201"/>
      <c r="C22" s="208"/>
      <c r="D22" s="201"/>
      <c r="E22" s="201"/>
    </row>
    <row r="23" spans="1:5" x14ac:dyDescent="0.25">
      <c r="A23" s="201"/>
      <c r="B23" s="201"/>
      <c r="C23" s="208"/>
      <c r="D23" s="201"/>
      <c r="E23" s="201"/>
    </row>
    <row r="24" spans="1:5" x14ac:dyDescent="0.25">
      <c r="A24" s="201"/>
      <c r="B24" s="201"/>
      <c r="C24" s="208"/>
      <c r="D24" s="201"/>
      <c r="E24" s="201"/>
    </row>
    <row r="25" spans="1:5" x14ac:dyDescent="0.25">
      <c r="A25" s="201"/>
      <c r="B25" s="201"/>
      <c r="C25" s="208"/>
      <c r="D25" s="201"/>
      <c r="E25" s="201"/>
    </row>
    <row r="26" spans="1:5" x14ac:dyDescent="0.25">
      <c r="A26" s="201"/>
      <c r="B26" s="201"/>
      <c r="C26" s="208"/>
      <c r="D26" s="201"/>
      <c r="E26" s="201"/>
    </row>
    <row r="27" spans="1:5" x14ac:dyDescent="0.25">
      <c r="A27" s="201"/>
      <c r="B27" s="201"/>
      <c r="C27" s="208"/>
      <c r="D27" s="201"/>
      <c r="E27" s="201"/>
    </row>
    <row r="28" spans="1:5" x14ac:dyDescent="0.25">
      <c r="A28" s="201"/>
      <c r="B28" s="201"/>
      <c r="C28" s="208"/>
      <c r="D28" s="201"/>
      <c r="E28" s="201"/>
    </row>
    <row r="29" spans="1:5" x14ac:dyDescent="0.25">
      <c r="A29" s="201"/>
      <c r="B29" s="201"/>
      <c r="C29" s="208"/>
      <c r="D29" s="201"/>
      <c r="E29" s="201"/>
    </row>
    <row r="30" spans="1:5" x14ac:dyDescent="0.25">
      <c r="A30" s="201"/>
      <c r="B30" s="205"/>
      <c r="C30" s="208"/>
      <c r="D30" s="201"/>
      <c r="E30" s="201"/>
    </row>
    <row r="31" spans="1:5" x14ac:dyDescent="0.25">
      <c r="A31" s="201"/>
      <c r="B31" s="201"/>
      <c r="C31" s="208"/>
      <c r="D31" s="201"/>
      <c r="E31" s="201"/>
    </row>
    <row r="32" spans="1:5" x14ac:dyDescent="0.25">
      <c r="A32" s="201"/>
      <c r="B32" s="201"/>
      <c r="C32" s="208"/>
      <c r="D32" s="201"/>
      <c r="E32" s="201"/>
    </row>
    <row r="33" spans="1:5" x14ac:dyDescent="0.25">
      <c r="A33" s="201"/>
      <c r="B33" s="201"/>
      <c r="C33" s="208"/>
      <c r="D33" s="201"/>
      <c r="E33" s="201"/>
    </row>
    <row r="34" spans="1:5" x14ac:dyDescent="0.25">
      <c r="A34" s="201"/>
      <c r="B34" s="201"/>
      <c r="C34" s="208"/>
      <c r="D34" s="201"/>
      <c r="E34" s="201"/>
    </row>
    <row r="35" spans="1:5" x14ac:dyDescent="0.25">
      <c r="A35" s="201"/>
      <c r="B35" s="201"/>
      <c r="C35" s="208"/>
      <c r="D35" s="201"/>
      <c r="E35" s="201"/>
    </row>
    <row r="36" spans="1:5" x14ac:dyDescent="0.25">
      <c r="A36" s="201"/>
      <c r="B36" s="201"/>
      <c r="C36" s="208"/>
      <c r="D36" s="201"/>
      <c r="E36" s="201"/>
    </row>
    <row r="37" spans="1:5" x14ac:dyDescent="0.25">
      <c r="A37" s="201"/>
      <c r="B37" s="201"/>
      <c r="C37" s="208"/>
      <c r="D37" s="201"/>
      <c r="E37" s="201"/>
    </row>
    <row r="38" spans="1:5" x14ac:dyDescent="0.25">
      <c r="A38" s="201"/>
      <c r="B38" s="205"/>
      <c r="C38" s="208"/>
      <c r="D38" s="201"/>
      <c r="E38" s="201"/>
    </row>
    <row r="39" spans="1:5" x14ac:dyDescent="0.25">
      <c r="A39" s="201"/>
      <c r="B39" s="201"/>
      <c r="C39" s="208"/>
      <c r="D39" s="201"/>
      <c r="E39" s="201"/>
    </row>
    <row r="40" spans="1:5" x14ac:dyDescent="0.25">
      <c r="A40" s="201"/>
      <c r="B40" s="201"/>
      <c r="C40" s="208"/>
      <c r="D40" s="201"/>
      <c r="E40" s="201"/>
    </row>
    <row r="41" spans="1:5" x14ac:dyDescent="0.25">
      <c r="A41" s="201"/>
      <c r="B41" s="201"/>
      <c r="C41" s="208"/>
      <c r="D41" s="201"/>
      <c r="E41" s="201"/>
    </row>
    <row r="42" spans="1:5" x14ac:dyDescent="0.25">
      <c r="A42" s="201"/>
      <c r="B42" s="201"/>
      <c r="C42" s="208"/>
      <c r="D42" s="201"/>
      <c r="E42" s="201"/>
    </row>
    <row r="43" spans="1:5" x14ac:dyDescent="0.25">
      <c r="A43" s="201"/>
      <c r="B43" s="201"/>
      <c r="C43" s="208"/>
      <c r="D43" s="201"/>
      <c r="E43" s="201"/>
    </row>
    <row r="44" spans="1:5" x14ac:dyDescent="0.25">
      <c r="A44" s="201"/>
      <c r="B44" s="201"/>
      <c r="C44" s="208"/>
      <c r="D44" s="201"/>
      <c r="E44" s="201"/>
    </row>
    <row r="45" spans="1:5" x14ac:dyDescent="0.25">
      <c r="A45" s="201"/>
      <c r="B45" s="201"/>
      <c r="C45" s="208"/>
      <c r="D45" s="201"/>
      <c r="E45" s="201"/>
    </row>
    <row r="46" spans="1:5" x14ac:dyDescent="0.25">
      <c r="A46" s="201"/>
      <c r="B46" s="201"/>
      <c r="C46" s="208"/>
      <c r="D46" s="201"/>
      <c r="E46" s="201"/>
    </row>
    <row r="47" spans="1:5" x14ac:dyDescent="0.25">
      <c r="A47" s="201"/>
      <c r="B47" s="205"/>
      <c r="C47" s="208"/>
      <c r="D47" s="201"/>
      <c r="E47" s="201"/>
    </row>
    <row r="48" spans="1:5" x14ac:dyDescent="0.25">
      <c r="A48" s="201"/>
      <c r="B48" s="201"/>
      <c r="C48" s="208"/>
      <c r="D48" s="201"/>
      <c r="E48" s="201"/>
    </row>
    <row r="49" spans="1:5" x14ac:dyDescent="0.25">
      <c r="A49" s="201"/>
      <c r="B49" s="201"/>
      <c r="C49" s="208"/>
      <c r="D49" s="201"/>
      <c r="E49" s="201"/>
    </row>
    <row r="50" spans="1:5" x14ac:dyDescent="0.25">
      <c r="A50" s="201"/>
      <c r="B50" s="201"/>
      <c r="C50" s="208"/>
      <c r="D50" s="201"/>
      <c r="E50" s="201"/>
    </row>
    <row r="51" spans="1:5" x14ac:dyDescent="0.25">
      <c r="A51" s="201"/>
      <c r="B51" s="201"/>
      <c r="C51" s="208"/>
      <c r="D51" s="201"/>
      <c r="E51" s="201"/>
    </row>
    <row r="52" spans="1:5" x14ac:dyDescent="0.25">
      <c r="A52" s="201"/>
      <c r="B52" s="201"/>
      <c r="C52" s="208"/>
      <c r="D52" s="201"/>
      <c r="E52" s="201"/>
    </row>
    <row r="53" spans="1:5" x14ac:dyDescent="0.25">
      <c r="A53" s="201"/>
      <c r="B53" s="201"/>
      <c r="C53" s="208"/>
      <c r="D53" s="201"/>
      <c r="E53" s="201"/>
    </row>
    <row r="54" spans="1:5" x14ac:dyDescent="0.25">
      <c r="A54" s="201"/>
      <c r="B54" s="201"/>
      <c r="C54" s="208"/>
      <c r="D54" s="201"/>
      <c r="E54" s="201"/>
    </row>
    <row r="55" spans="1:5" x14ac:dyDescent="0.25">
      <c r="A55" s="201"/>
      <c r="B55" s="201"/>
      <c r="C55" s="208"/>
      <c r="D55" s="201"/>
      <c r="E55" s="201"/>
    </row>
    <row r="56" spans="1:5" x14ac:dyDescent="0.25">
      <c r="A56" s="201"/>
      <c r="B56" s="201"/>
      <c r="C56" s="208"/>
      <c r="D56" s="201"/>
      <c r="E56" s="201"/>
    </row>
    <row r="57" spans="1:5" x14ac:dyDescent="0.25">
      <c r="A57" s="201"/>
      <c r="B57" s="201"/>
      <c r="C57" s="208"/>
      <c r="D57" s="201"/>
      <c r="E57" s="201"/>
    </row>
    <row r="58" spans="1:5" x14ac:dyDescent="0.25">
      <c r="A58" s="201"/>
      <c r="B58" s="201"/>
      <c r="C58" s="208"/>
      <c r="D58" s="201"/>
      <c r="E58" s="201"/>
    </row>
    <row r="59" spans="1:5" x14ac:dyDescent="0.25">
      <c r="A59" s="201"/>
      <c r="B59" s="201"/>
      <c r="C59" s="208"/>
      <c r="D59" s="201"/>
      <c r="E59" s="201"/>
    </row>
    <row r="60" spans="1:5" x14ac:dyDescent="0.25">
      <c r="A60" s="201"/>
      <c r="B60" s="201"/>
      <c r="C60" s="208"/>
      <c r="D60" s="201"/>
      <c r="E60" s="201"/>
    </row>
    <row r="61" spans="1:5" x14ac:dyDescent="0.25">
      <c r="A61" s="201"/>
      <c r="B61" s="201"/>
      <c r="C61" s="208"/>
      <c r="D61" s="201"/>
      <c r="E61" s="201"/>
    </row>
    <row r="62" spans="1:5" x14ac:dyDescent="0.25">
      <c r="A62" s="201"/>
      <c r="B62" s="201"/>
      <c r="C62" s="208"/>
      <c r="D62" s="201"/>
      <c r="E62" s="201"/>
    </row>
    <row r="63" spans="1:5" x14ac:dyDescent="0.25">
      <c r="A63" s="201"/>
      <c r="B63" s="201"/>
      <c r="C63" s="208"/>
      <c r="D63" s="201"/>
      <c r="E63" s="201"/>
    </row>
    <row r="64" spans="1:5" x14ac:dyDescent="0.25">
      <c r="A64" s="201"/>
      <c r="B64" s="201"/>
      <c r="C64" s="208"/>
      <c r="D64" s="201"/>
      <c r="E64" s="201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zoomScale="175" zoomScaleNormal="175" workbookViewId="0">
      <selection activeCell="C9" sqref="C9"/>
    </sheetView>
  </sheetViews>
  <sheetFormatPr baseColWidth="10" defaultRowHeight="12.5" x14ac:dyDescent="0.25"/>
  <sheetData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C1:H536"/>
  <sheetViews>
    <sheetView zoomScale="145" zoomScaleNormal="145" workbookViewId="0">
      <selection activeCell="C12" sqref="C12"/>
    </sheetView>
  </sheetViews>
  <sheetFormatPr baseColWidth="10" defaultRowHeight="14.5" x14ac:dyDescent="0.35"/>
  <cols>
    <col min="3" max="3" width="35.26953125" customWidth="1"/>
    <col min="4" max="4" width="40.7265625" style="216" customWidth="1"/>
    <col min="5" max="5" width="36" style="215" customWidth="1"/>
    <col min="6" max="6" width="35.26953125" style="214" customWidth="1"/>
    <col min="7" max="7" width="35" style="213" customWidth="1"/>
    <col min="8" max="8" width="27.1796875" style="212" customWidth="1"/>
  </cols>
  <sheetData>
    <row r="1" spans="3:8" x14ac:dyDescent="0.35">
      <c r="C1" s="224" t="s">
        <v>141</v>
      </c>
      <c r="D1" s="221" t="s">
        <v>142</v>
      </c>
      <c r="E1" s="226" t="s">
        <v>143</v>
      </c>
      <c r="F1" s="227" t="s">
        <v>144</v>
      </c>
      <c r="G1" s="228" t="s">
        <v>145</v>
      </c>
      <c r="H1" s="229" t="s">
        <v>146</v>
      </c>
    </row>
    <row r="2" spans="3:8" x14ac:dyDescent="0.35">
      <c r="C2" s="225"/>
      <c r="D2" s="222"/>
      <c r="E2" s="217"/>
      <c r="F2" s="218"/>
      <c r="G2" s="219"/>
      <c r="H2" s="220"/>
    </row>
    <row r="3" spans="3:8" x14ac:dyDescent="0.35">
      <c r="C3" s="225"/>
      <c r="D3" s="222"/>
      <c r="E3" s="217"/>
      <c r="F3" s="218"/>
      <c r="G3" s="219"/>
      <c r="H3" s="220"/>
    </row>
    <row r="4" spans="3:8" x14ac:dyDescent="0.35">
      <c r="C4" s="225"/>
      <c r="D4" s="222"/>
      <c r="E4" s="217"/>
      <c r="F4" s="218"/>
      <c r="G4" s="219"/>
      <c r="H4" s="220"/>
    </row>
    <row r="5" spans="3:8" x14ac:dyDescent="0.35">
      <c r="C5" s="225"/>
      <c r="D5" s="222"/>
      <c r="E5" s="217"/>
      <c r="F5" s="218"/>
      <c r="G5" s="219"/>
      <c r="H5" s="220"/>
    </row>
    <row r="6" spans="3:8" x14ac:dyDescent="0.35">
      <c r="C6" s="225"/>
      <c r="D6" s="222"/>
      <c r="E6" s="217"/>
      <c r="F6" s="218"/>
      <c r="G6" s="219"/>
      <c r="H6" s="220"/>
    </row>
    <row r="7" spans="3:8" x14ac:dyDescent="0.35">
      <c r="C7" s="225"/>
      <c r="D7" s="222"/>
      <c r="E7" s="217"/>
      <c r="F7" s="218"/>
      <c r="G7" s="219"/>
      <c r="H7" s="220"/>
    </row>
    <row r="8" spans="3:8" x14ac:dyDescent="0.35">
      <c r="C8" s="225"/>
      <c r="D8" s="222"/>
      <c r="E8" s="217"/>
      <c r="F8" s="218"/>
      <c r="G8" s="219"/>
      <c r="H8" s="220"/>
    </row>
    <row r="9" spans="3:8" x14ac:dyDescent="0.35">
      <c r="C9" s="225"/>
      <c r="D9" s="222"/>
      <c r="E9" s="217"/>
      <c r="F9" s="218"/>
      <c r="G9" s="219"/>
      <c r="H9" s="220"/>
    </row>
    <row r="10" spans="3:8" x14ac:dyDescent="0.35">
      <c r="C10" s="225"/>
      <c r="D10" s="222"/>
      <c r="E10" s="217"/>
      <c r="F10" s="218"/>
      <c r="G10" s="219"/>
      <c r="H10" s="220"/>
    </row>
    <row r="11" spans="3:8" x14ac:dyDescent="0.35">
      <c r="C11" s="225"/>
      <c r="D11" s="222"/>
      <c r="E11" s="217"/>
      <c r="F11" s="218"/>
      <c r="G11" s="219"/>
      <c r="H11" s="220"/>
    </row>
    <row r="12" spans="3:8" x14ac:dyDescent="0.35">
      <c r="C12" s="225"/>
      <c r="D12" s="222"/>
      <c r="E12" s="217"/>
      <c r="F12" s="218"/>
      <c r="G12" s="219"/>
      <c r="H12" s="220"/>
    </row>
    <row r="13" spans="3:8" x14ac:dyDescent="0.35">
      <c r="C13" s="225"/>
      <c r="D13" s="222"/>
      <c r="E13" s="217"/>
      <c r="F13" s="218"/>
      <c r="G13" s="219"/>
      <c r="H13" s="220"/>
    </row>
    <row r="14" spans="3:8" x14ac:dyDescent="0.35">
      <c r="C14" s="225"/>
      <c r="D14" s="222"/>
      <c r="E14" s="217"/>
      <c r="F14" s="218"/>
      <c r="G14" s="219"/>
      <c r="H14" s="220"/>
    </row>
    <row r="15" spans="3:8" x14ac:dyDescent="0.35">
      <c r="C15" s="225"/>
      <c r="D15" s="222"/>
      <c r="E15" s="217"/>
      <c r="F15" s="218"/>
      <c r="G15" s="219"/>
      <c r="H15" s="220"/>
    </row>
    <row r="16" spans="3:8" x14ac:dyDescent="0.35">
      <c r="C16" s="225"/>
      <c r="D16" s="222"/>
      <c r="E16" s="217"/>
      <c r="F16" s="218"/>
      <c r="G16" s="219"/>
      <c r="H16" s="220"/>
    </row>
    <row r="17" spans="3:8" x14ac:dyDescent="0.35">
      <c r="C17" s="225"/>
      <c r="D17" s="222"/>
      <c r="E17" s="217"/>
      <c r="F17" s="218"/>
      <c r="G17" s="219"/>
      <c r="H17" s="220"/>
    </row>
    <row r="18" spans="3:8" x14ac:dyDescent="0.35">
      <c r="C18" s="225"/>
      <c r="D18" s="222"/>
      <c r="E18" s="217"/>
      <c r="F18" s="218"/>
      <c r="G18" s="219"/>
      <c r="H18" s="220"/>
    </row>
    <row r="19" spans="3:8" x14ac:dyDescent="0.35">
      <c r="C19" s="225"/>
      <c r="D19" s="222"/>
      <c r="E19" s="217"/>
      <c r="F19" s="218"/>
      <c r="G19" s="219"/>
      <c r="H19" s="220"/>
    </row>
    <row r="20" spans="3:8" x14ac:dyDescent="0.35">
      <c r="C20" s="225"/>
      <c r="D20" s="222"/>
      <c r="E20" s="217"/>
      <c r="F20" s="218"/>
      <c r="G20" s="219"/>
      <c r="H20" s="220"/>
    </row>
    <row r="21" spans="3:8" x14ac:dyDescent="0.35">
      <c r="C21" s="225"/>
      <c r="D21" s="222"/>
      <c r="E21" s="217"/>
      <c r="F21" s="218"/>
      <c r="G21" s="219"/>
      <c r="H21" s="220"/>
    </row>
    <row r="22" spans="3:8" x14ac:dyDescent="0.35">
      <c r="C22" s="225"/>
      <c r="D22" s="222"/>
      <c r="E22" s="217"/>
      <c r="F22" s="218"/>
      <c r="G22" s="219"/>
      <c r="H22" s="220"/>
    </row>
    <row r="23" spans="3:8" x14ac:dyDescent="0.35">
      <c r="C23" s="225"/>
      <c r="D23" s="222"/>
      <c r="E23" s="217"/>
      <c r="F23" s="218"/>
      <c r="G23" s="219"/>
      <c r="H23" s="220"/>
    </row>
    <row r="24" spans="3:8" x14ac:dyDescent="0.35">
      <c r="C24" s="225"/>
      <c r="D24" s="222"/>
      <c r="E24" s="217"/>
      <c r="F24" s="218"/>
      <c r="G24" s="219"/>
      <c r="H24" s="220"/>
    </row>
    <row r="25" spans="3:8" x14ac:dyDescent="0.35">
      <c r="C25" s="225"/>
      <c r="D25" s="222"/>
      <c r="E25" s="217"/>
      <c r="F25" s="218"/>
      <c r="G25" s="219"/>
      <c r="H25" s="220"/>
    </row>
    <row r="26" spans="3:8" x14ac:dyDescent="0.35">
      <c r="C26" s="225"/>
      <c r="D26" s="222"/>
      <c r="E26" s="217"/>
      <c r="F26" s="218"/>
      <c r="G26" s="219"/>
      <c r="H26" s="220"/>
    </row>
    <row r="27" spans="3:8" x14ac:dyDescent="0.35">
      <c r="C27" s="225"/>
      <c r="D27" s="222"/>
      <c r="E27" s="217"/>
      <c r="F27" s="218"/>
      <c r="G27" s="219"/>
      <c r="H27" s="220"/>
    </row>
    <row r="28" spans="3:8" x14ac:dyDescent="0.35">
      <c r="C28" s="225"/>
      <c r="D28" s="222"/>
      <c r="E28" s="217"/>
      <c r="F28" s="218"/>
      <c r="G28" s="219"/>
      <c r="H28" s="220"/>
    </row>
    <row r="29" spans="3:8" x14ac:dyDescent="0.35">
      <c r="C29" s="225"/>
      <c r="D29" s="222"/>
      <c r="E29" s="217"/>
      <c r="F29" s="218"/>
      <c r="G29" s="219"/>
      <c r="H29" s="220"/>
    </row>
    <row r="30" spans="3:8" x14ac:dyDescent="0.35">
      <c r="C30" s="225"/>
      <c r="D30" s="222"/>
      <c r="E30" s="217"/>
      <c r="F30" s="218"/>
      <c r="G30" s="219"/>
      <c r="H30" s="220"/>
    </row>
    <row r="31" spans="3:8" x14ac:dyDescent="0.35">
      <c r="C31" s="225"/>
      <c r="D31" s="222"/>
      <c r="E31" s="217"/>
      <c r="F31" s="218"/>
      <c r="G31" s="219"/>
      <c r="H31" s="220"/>
    </row>
    <row r="32" spans="3:8" x14ac:dyDescent="0.35">
      <c r="C32" s="225"/>
      <c r="D32" s="222"/>
      <c r="E32" s="217"/>
      <c r="F32" s="218"/>
      <c r="G32" s="219"/>
      <c r="H32" s="220"/>
    </row>
    <row r="33" spans="3:8" x14ac:dyDescent="0.35">
      <c r="C33" s="225"/>
      <c r="D33" s="222"/>
      <c r="E33" s="217"/>
      <c r="F33" s="218"/>
      <c r="G33" s="219"/>
      <c r="H33" s="220"/>
    </row>
    <row r="34" spans="3:8" x14ac:dyDescent="0.35">
      <c r="C34" s="225"/>
      <c r="D34" s="222"/>
      <c r="E34" s="217"/>
      <c r="F34" s="218"/>
      <c r="G34" s="219"/>
      <c r="H34" s="220"/>
    </row>
    <row r="35" spans="3:8" x14ac:dyDescent="0.35">
      <c r="C35" s="225"/>
      <c r="D35" s="222"/>
      <c r="E35" s="217"/>
      <c r="F35" s="218"/>
      <c r="G35" s="219"/>
      <c r="H35" s="220"/>
    </row>
    <row r="36" spans="3:8" x14ac:dyDescent="0.35">
      <c r="C36" s="225"/>
      <c r="D36" s="222"/>
      <c r="E36" s="217"/>
      <c r="F36" s="218"/>
      <c r="G36" s="219"/>
      <c r="H36" s="220"/>
    </row>
    <row r="37" spans="3:8" x14ac:dyDescent="0.35">
      <c r="C37" s="225"/>
      <c r="D37" s="222"/>
      <c r="E37" s="217"/>
      <c r="F37" s="218"/>
      <c r="G37" s="219"/>
      <c r="H37" s="220"/>
    </row>
    <row r="38" spans="3:8" x14ac:dyDescent="0.35">
      <c r="C38" s="225"/>
      <c r="D38" s="222"/>
      <c r="E38" s="217"/>
      <c r="F38" s="218"/>
      <c r="G38" s="219"/>
      <c r="H38" s="220"/>
    </row>
    <row r="39" spans="3:8" x14ac:dyDescent="0.35">
      <c r="C39" s="225"/>
      <c r="D39" s="222"/>
      <c r="E39" s="217"/>
      <c r="F39" s="218"/>
      <c r="G39" s="219"/>
      <c r="H39" s="220"/>
    </row>
    <row r="40" spans="3:8" x14ac:dyDescent="0.35">
      <c r="C40" s="225"/>
      <c r="D40" s="222"/>
      <c r="E40" s="217"/>
      <c r="F40" s="218"/>
      <c r="G40" s="219"/>
      <c r="H40" s="220"/>
    </row>
    <row r="41" spans="3:8" x14ac:dyDescent="0.35">
      <c r="C41" s="225"/>
      <c r="D41" s="222"/>
      <c r="E41" s="217"/>
      <c r="F41" s="218"/>
      <c r="G41" s="219"/>
      <c r="H41" s="220"/>
    </row>
    <row r="42" spans="3:8" x14ac:dyDescent="0.35">
      <c r="C42" s="225"/>
      <c r="D42" s="222"/>
      <c r="E42" s="217"/>
      <c r="F42" s="218"/>
      <c r="G42" s="219"/>
      <c r="H42" s="220"/>
    </row>
    <row r="43" spans="3:8" x14ac:dyDescent="0.35">
      <c r="C43" s="225"/>
      <c r="D43" s="222"/>
      <c r="E43" s="217"/>
      <c r="F43" s="218"/>
      <c r="G43" s="219"/>
      <c r="H43" s="220"/>
    </row>
    <row r="44" spans="3:8" x14ac:dyDescent="0.35">
      <c r="C44" s="225"/>
      <c r="D44" s="222"/>
      <c r="E44" s="217"/>
      <c r="F44" s="218"/>
      <c r="G44" s="219"/>
      <c r="H44" s="220"/>
    </row>
    <row r="45" spans="3:8" x14ac:dyDescent="0.35">
      <c r="C45" s="225"/>
      <c r="D45" s="222"/>
      <c r="E45" s="217"/>
      <c r="F45" s="218"/>
      <c r="G45" s="219"/>
      <c r="H45" s="220"/>
    </row>
    <row r="46" spans="3:8" x14ac:dyDescent="0.35">
      <c r="C46" s="225"/>
      <c r="D46" s="222"/>
      <c r="E46" s="217"/>
      <c r="F46" s="218"/>
      <c r="G46" s="219"/>
      <c r="H46" s="220"/>
    </row>
    <row r="47" spans="3:8" x14ac:dyDescent="0.35">
      <c r="C47" s="225"/>
      <c r="D47" s="222"/>
      <c r="E47" s="217"/>
      <c r="F47" s="218"/>
      <c r="G47" s="219"/>
      <c r="H47" s="220"/>
    </row>
    <row r="48" spans="3:8" x14ac:dyDescent="0.35">
      <c r="C48" s="225"/>
      <c r="D48" s="222"/>
      <c r="E48" s="217"/>
      <c r="F48" s="218"/>
      <c r="G48" s="219"/>
      <c r="H48" s="220"/>
    </row>
    <row r="49" spans="3:8" x14ac:dyDescent="0.35">
      <c r="C49" s="225"/>
      <c r="D49" s="222"/>
      <c r="E49" s="217"/>
      <c r="F49" s="218"/>
      <c r="G49" s="219"/>
      <c r="H49" s="220"/>
    </row>
    <row r="50" spans="3:8" x14ac:dyDescent="0.35">
      <c r="C50" s="225"/>
      <c r="D50" s="222"/>
      <c r="E50" s="217"/>
      <c r="F50" s="218"/>
      <c r="G50" s="219"/>
      <c r="H50" s="220"/>
    </row>
    <row r="51" spans="3:8" x14ac:dyDescent="0.35">
      <c r="C51" s="225"/>
      <c r="D51" s="222"/>
      <c r="E51" s="217"/>
      <c r="F51" s="218"/>
      <c r="G51" s="219"/>
      <c r="H51" s="220"/>
    </row>
    <row r="52" spans="3:8" x14ac:dyDescent="0.35">
      <c r="C52" s="225"/>
      <c r="D52" s="222"/>
      <c r="E52" s="217"/>
      <c r="F52" s="218"/>
      <c r="G52" s="219"/>
      <c r="H52" s="220"/>
    </row>
    <row r="53" spans="3:8" x14ac:dyDescent="0.35">
      <c r="C53" s="225"/>
      <c r="D53" s="222"/>
      <c r="E53" s="217"/>
      <c r="F53" s="218"/>
      <c r="G53" s="219"/>
      <c r="H53" s="220"/>
    </row>
    <row r="54" spans="3:8" x14ac:dyDescent="0.35">
      <c r="C54" s="225"/>
      <c r="D54" s="222"/>
      <c r="E54" s="217"/>
      <c r="F54" s="218"/>
      <c r="G54" s="219"/>
      <c r="H54" s="220"/>
    </row>
    <row r="55" spans="3:8" x14ac:dyDescent="0.35">
      <c r="C55" s="225"/>
      <c r="D55" s="222"/>
      <c r="E55" s="217"/>
      <c r="F55" s="218"/>
      <c r="G55" s="219"/>
      <c r="H55" s="220"/>
    </row>
    <row r="56" spans="3:8" x14ac:dyDescent="0.35">
      <c r="C56" s="225"/>
      <c r="D56" s="222"/>
      <c r="E56" s="217"/>
      <c r="F56" s="218"/>
      <c r="G56" s="219"/>
      <c r="H56" s="220"/>
    </row>
    <row r="57" spans="3:8" x14ac:dyDescent="0.35">
      <c r="C57" s="225"/>
      <c r="D57" s="222"/>
      <c r="E57" s="217"/>
      <c r="F57" s="218"/>
      <c r="G57" s="219"/>
      <c r="H57" s="220"/>
    </row>
    <row r="58" spans="3:8" x14ac:dyDescent="0.35">
      <c r="C58" s="225"/>
      <c r="D58" s="222"/>
      <c r="E58" s="217"/>
      <c r="F58" s="218"/>
      <c r="G58" s="219"/>
      <c r="H58" s="220"/>
    </row>
    <row r="59" spans="3:8" x14ac:dyDescent="0.35">
      <c r="C59" s="225"/>
      <c r="D59" s="222"/>
      <c r="E59" s="217"/>
      <c r="F59" s="218"/>
      <c r="G59" s="219"/>
      <c r="H59" s="220"/>
    </row>
    <row r="60" spans="3:8" x14ac:dyDescent="0.35">
      <c r="C60" s="225"/>
      <c r="D60" s="222"/>
      <c r="E60" s="217"/>
      <c r="F60" s="218"/>
      <c r="G60" s="219"/>
      <c r="H60" s="220"/>
    </row>
    <row r="61" spans="3:8" x14ac:dyDescent="0.35">
      <c r="C61" s="225"/>
      <c r="D61" s="222"/>
      <c r="E61" s="217"/>
      <c r="F61" s="218"/>
      <c r="G61" s="219"/>
      <c r="H61" s="220"/>
    </row>
    <row r="62" spans="3:8" x14ac:dyDescent="0.35">
      <c r="C62" s="225"/>
      <c r="D62" s="222"/>
      <c r="E62" s="217"/>
      <c r="F62" s="218"/>
      <c r="G62" s="219"/>
      <c r="H62" s="220"/>
    </row>
    <row r="63" spans="3:8" x14ac:dyDescent="0.35">
      <c r="C63" s="225"/>
      <c r="D63" s="222"/>
      <c r="E63" s="217"/>
      <c r="F63" s="218"/>
      <c r="G63" s="219"/>
      <c r="H63" s="220"/>
    </row>
    <row r="64" spans="3:8" x14ac:dyDescent="0.35">
      <c r="C64" s="225"/>
      <c r="D64" s="222"/>
      <c r="E64" s="217"/>
      <c r="F64" s="218"/>
      <c r="G64" s="219"/>
      <c r="H64" s="220"/>
    </row>
    <row r="65" spans="3:8" x14ac:dyDescent="0.35">
      <c r="C65" s="225"/>
      <c r="D65" s="222"/>
      <c r="E65" s="217"/>
      <c r="F65" s="218"/>
      <c r="G65" s="219"/>
      <c r="H65" s="220"/>
    </row>
    <row r="66" spans="3:8" x14ac:dyDescent="0.35">
      <c r="C66" s="225"/>
      <c r="D66" s="222"/>
      <c r="E66" s="217"/>
      <c r="F66" s="218"/>
      <c r="G66" s="219"/>
      <c r="H66" s="220"/>
    </row>
    <row r="67" spans="3:8" x14ac:dyDescent="0.35">
      <c r="C67" s="225"/>
      <c r="D67" s="222"/>
      <c r="E67" s="217"/>
      <c r="F67" s="218"/>
      <c r="G67" s="219"/>
      <c r="H67" s="220"/>
    </row>
    <row r="68" spans="3:8" x14ac:dyDescent="0.35">
      <c r="C68" s="225"/>
      <c r="D68" s="222"/>
      <c r="E68" s="217"/>
      <c r="F68" s="218"/>
      <c r="G68" s="219"/>
      <c r="H68" s="220"/>
    </row>
    <row r="69" spans="3:8" x14ac:dyDescent="0.35">
      <c r="C69" s="225"/>
      <c r="D69" s="222"/>
      <c r="E69" s="217"/>
      <c r="F69" s="218"/>
      <c r="G69" s="219"/>
      <c r="H69" s="220"/>
    </row>
    <row r="70" spans="3:8" x14ac:dyDescent="0.35">
      <c r="C70" s="225"/>
      <c r="D70" s="222"/>
      <c r="E70" s="217"/>
      <c r="F70" s="218"/>
      <c r="G70" s="219"/>
      <c r="H70" s="220"/>
    </row>
    <row r="71" spans="3:8" x14ac:dyDescent="0.35">
      <c r="C71" s="225"/>
      <c r="D71" s="222"/>
      <c r="E71" s="217"/>
      <c r="F71" s="218"/>
      <c r="G71" s="219"/>
      <c r="H71" s="220"/>
    </row>
    <row r="72" spans="3:8" x14ac:dyDescent="0.35">
      <c r="C72" s="225"/>
      <c r="D72" s="222"/>
      <c r="E72" s="217"/>
      <c r="F72" s="218"/>
      <c r="G72" s="219"/>
      <c r="H72" s="220"/>
    </row>
    <row r="73" spans="3:8" x14ac:dyDescent="0.35">
      <c r="C73" s="225"/>
      <c r="D73" s="222"/>
      <c r="E73" s="217"/>
      <c r="F73" s="218"/>
      <c r="G73" s="219"/>
      <c r="H73" s="220"/>
    </row>
    <row r="74" spans="3:8" x14ac:dyDescent="0.35">
      <c r="C74" s="225"/>
      <c r="D74" s="222"/>
      <c r="E74" s="217"/>
      <c r="F74" s="218"/>
      <c r="G74" s="219"/>
      <c r="H74" s="220"/>
    </row>
    <row r="75" spans="3:8" x14ac:dyDescent="0.35">
      <c r="C75" s="225"/>
      <c r="D75" s="222"/>
      <c r="E75" s="217"/>
      <c r="F75" s="218"/>
      <c r="G75" s="219"/>
      <c r="H75" s="220"/>
    </row>
    <row r="76" spans="3:8" x14ac:dyDescent="0.35">
      <c r="C76" s="225"/>
      <c r="D76" s="222"/>
      <c r="E76" s="217"/>
      <c r="F76" s="218"/>
      <c r="G76" s="219"/>
      <c r="H76" s="220"/>
    </row>
    <row r="77" spans="3:8" x14ac:dyDescent="0.35">
      <c r="C77" s="225"/>
      <c r="D77" s="222"/>
      <c r="E77" s="217"/>
      <c r="F77" s="218"/>
      <c r="G77" s="219"/>
      <c r="H77" s="220"/>
    </row>
    <row r="78" spans="3:8" x14ac:dyDescent="0.35">
      <c r="C78" s="225"/>
      <c r="D78" s="222"/>
      <c r="E78" s="217"/>
      <c r="F78" s="218"/>
      <c r="G78" s="219"/>
      <c r="H78" s="220"/>
    </row>
    <row r="79" spans="3:8" x14ac:dyDescent="0.35">
      <c r="C79" s="225"/>
      <c r="D79" s="222"/>
      <c r="E79" s="217"/>
      <c r="F79" s="218"/>
      <c r="G79" s="219"/>
      <c r="H79" s="220"/>
    </row>
    <row r="80" spans="3:8" x14ac:dyDescent="0.35">
      <c r="C80" s="225"/>
      <c r="D80" s="222"/>
      <c r="E80" s="217"/>
      <c r="F80" s="218"/>
      <c r="G80" s="219"/>
      <c r="H80" s="220"/>
    </row>
    <row r="81" spans="3:8" x14ac:dyDescent="0.35">
      <c r="C81" s="225"/>
      <c r="D81" s="222"/>
      <c r="E81" s="217"/>
      <c r="F81" s="218"/>
      <c r="G81" s="219"/>
      <c r="H81" s="220"/>
    </row>
    <row r="82" spans="3:8" x14ac:dyDescent="0.35">
      <c r="C82" s="225"/>
      <c r="D82" s="222"/>
      <c r="E82" s="217"/>
      <c r="F82" s="218"/>
      <c r="G82" s="219"/>
      <c r="H82" s="220"/>
    </row>
    <row r="83" spans="3:8" x14ac:dyDescent="0.35">
      <c r="C83" s="225"/>
      <c r="D83" s="222"/>
      <c r="E83" s="217"/>
      <c r="F83" s="218"/>
      <c r="G83" s="219"/>
      <c r="H83" s="220"/>
    </row>
    <row r="84" spans="3:8" x14ac:dyDescent="0.35">
      <c r="C84" s="225"/>
      <c r="D84" s="222"/>
      <c r="E84" s="217"/>
      <c r="F84" s="218"/>
      <c r="G84" s="219"/>
      <c r="H84" s="220"/>
    </row>
    <row r="85" spans="3:8" x14ac:dyDescent="0.35">
      <c r="C85" s="225"/>
      <c r="D85" s="222"/>
      <c r="E85" s="217"/>
      <c r="F85" s="218"/>
      <c r="G85" s="219"/>
      <c r="H85" s="220"/>
    </row>
    <row r="86" spans="3:8" x14ac:dyDescent="0.35">
      <c r="C86" s="225"/>
      <c r="D86" s="222"/>
      <c r="E86" s="217"/>
      <c r="F86" s="218"/>
      <c r="G86" s="219"/>
      <c r="H86" s="220"/>
    </row>
    <row r="87" spans="3:8" x14ac:dyDescent="0.35">
      <c r="C87" s="225"/>
      <c r="D87" s="222"/>
      <c r="E87" s="217"/>
      <c r="F87" s="218"/>
      <c r="G87" s="219"/>
      <c r="H87" s="220"/>
    </row>
    <row r="88" spans="3:8" x14ac:dyDescent="0.35">
      <c r="C88" s="225"/>
      <c r="D88" s="222"/>
      <c r="E88" s="217"/>
      <c r="F88" s="218"/>
      <c r="G88" s="219"/>
      <c r="H88" s="220"/>
    </row>
    <row r="89" spans="3:8" x14ac:dyDescent="0.35">
      <c r="C89" s="225"/>
      <c r="D89" s="222"/>
      <c r="E89" s="217"/>
      <c r="F89" s="218"/>
      <c r="G89" s="219"/>
      <c r="H89" s="220"/>
    </row>
    <row r="90" spans="3:8" x14ac:dyDescent="0.35">
      <c r="C90" s="225"/>
      <c r="D90" s="222"/>
      <c r="E90" s="217"/>
      <c r="F90" s="218"/>
      <c r="G90" s="219"/>
      <c r="H90" s="220"/>
    </row>
    <row r="91" spans="3:8" x14ac:dyDescent="0.35">
      <c r="C91" s="225"/>
      <c r="D91" s="222"/>
      <c r="E91" s="217"/>
      <c r="F91" s="218"/>
      <c r="G91" s="219"/>
      <c r="H91" s="220"/>
    </row>
    <row r="92" spans="3:8" x14ac:dyDescent="0.35">
      <c r="C92" s="225"/>
      <c r="D92" s="222"/>
      <c r="E92" s="217"/>
      <c r="F92" s="218"/>
      <c r="G92" s="219"/>
      <c r="H92" s="220"/>
    </row>
    <row r="93" spans="3:8" x14ac:dyDescent="0.35">
      <c r="C93" s="225"/>
      <c r="D93" s="222"/>
      <c r="E93" s="217"/>
      <c r="F93" s="218"/>
      <c r="G93" s="219"/>
      <c r="H93" s="220"/>
    </row>
    <row r="94" spans="3:8" x14ac:dyDescent="0.35">
      <c r="C94" s="225"/>
      <c r="D94" s="222"/>
      <c r="E94" s="217"/>
      <c r="F94" s="218"/>
      <c r="G94" s="219"/>
      <c r="H94" s="220"/>
    </row>
    <row r="95" spans="3:8" x14ac:dyDescent="0.35">
      <c r="C95" s="225"/>
      <c r="D95" s="222"/>
      <c r="E95" s="217"/>
      <c r="F95" s="218"/>
      <c r="G95" s="219"/>
      <c r="H95" s="220"/>
    </row>
    <row r="96" spans="3:8" x14ac:dyDescent="0.35">
      <c r="C96" s="225"/>
      <c r="D96" s="222"/>
      <c r="E96" s="217"/>
      <c r="F96" s="218"/>
      <c r="G96" s="219"/>
      <c r="H96" s="220"/>
    </row>
    <row r="97" spans="3:8" x14ac:dyDescent="0.35">
      <c r="C97" s="225"/>
      <c r="D97" s="222"/>
      <c r="E97" s="217"/>
      <c r="F97" s="218"/>
      <c r="G97" s="219"/>
      <c r="H97" s="220"/>
    </row>
    <row r="98" spans="3:8" x14ac:dyDescent="0.35">
      <c r="C98" s="225"/>
      <c r="D98" s="222"/>
      <c r="E98" s="217"/>
      <c r="F98" s="218"/>
      <c r="G98" s="219"/>
      <c r="H98" s="220"/>
    </row>
    <row r="99" spans="3:8" x14ac:dyDescent="0.35">
      <c r="C99" s="225"/>
      <c r="D99" s="222"/>
      <c r="E99" s="217"/>
      <c r="F99" s="218"/>
      <c r="G99" s="219"/>
      <c r="H99" s="220"/>
    </row>
    <row r="100" spans="3:8" x14ac:dyDescent="0.35">
      <c r="C100" s="225"/>
      <c r="D100" s="222"/>
      <c r="E100" s="217"/>
      <c r="F100" s="218"/>
      <c r="G100" s="219"/>
      <c r="H100" s="220"/>
    </row>
    <row r="101" spans="3:8" x14ac:dyDescent="0.35">
      <c r="C101" s="225"/>
      <c r="D101" s="222"/>
      <c r="E101" s="217"/>
      <c r="F101" s="218"/>
      <c r="G101" s="219"/>
      <c r="H101" s="220"/>
    </row>
    <row r="102" spans="3:8" x14ac:dyDescent="0.35">
      <c r="C102" s="225"/>
      <c r="D102" s="222"/>
      <c r="E102" s="217"/>
      <c r="F102" s="218"/>
      <c r="G102" s="219"/>
      <c r="H102" s="220"/>
    </row>
    <row r="103" spans="3:8" x14ac:dyDescent="0.35">
      <c r="C103" s="225"/>
      <c r="D103" s="222"/>
      <c r="E103" s="217"/>
      <c r="F103" s="218"/>
      <c r="G103" s="219"/>
      <c r="H103" s="220"/>
    </row>
    <row r="104" spans="3:8" x14ac:dyDescent="0.35">
      <c r="C104" s="225"/>
      <c r="D104" s="222"/>
      <c r="E104" s="217"/>
      <c r="F104" s="218"/>
      <c r="G104" s="219"/>
      <c r="H104" s="220"/>
    </row>
    <row r="105" spans="3:8" x14ac:dyDescent="0.35">
      <c r="C105" s="225"/>
      <c r="D105" s="222"/>
      <c r="E105" s="217"/>
      <c r="F105" s="218"/>
      <c r="G105" s="219"/>
      <c r="H105" s="220"/>
    </row>
    <row r="106" spans="3:8" x14ac:dyDescent="0.35">
      <c r="C106" s="225"/>
      <c r="D106" s="222"/>
      <c r="E106" s="217"/>
      <c r="F106" s="218"/>
      <c r="G106" s="219"/>
      <c r="H106" s="220"/>
    </row>
    <row r="107" spans="3:8" x14ac:dyDescent="0.35">
      <c r="C107" s="225"/>
      <c r="D107" s="222"/>
      <c r="E107" s="217"/>
      <c r="F107" s="218"/>
      <c r="G107" s="219"/>
      <c r="H107" s="220"/>
    </row>
    <row r="108" spans="3:8" x14ac:dyDescent="0.35">
      <c r="C108" s="225"/>
      <c r="D108" s="222"/>
      <c r="E108" s="217"/>
      <c r="F108" s="218"/>
      <c r="G108" s="219"/>
      <c r="H108" s="220"/>
    </row>
    <row r="109" spans="3:8" x14ac:dyDescent="0.35">
      <c r="C109" s="225"/>
      <c r="D109" s="222"/>
      <c r="E109" s="217"/>
      <c r="F109" s="218"/>
      <c r="G109" s="219"/>
      <c r="H109" s="220"/>
    </row>
    <row r="110" spans="3:8" x14ac:dyDescent="0.35">
      <c r="C110" s="225"/>
      <c r="D110" s="222"/>
      <c r="E110" s="217"/>
      <c r="F110" s="218"/>
      <c r="G110" s="219"/>
      <c r="H110" s="220"/>
    </row>
    <row r="111" spans="3:8" x14ac:dyDescent="0.35">
      <c r="C111" s="225"/>
      <c r="D111" s="222"/>
      <c r="E111" s="217"/>
      <c r="F111" s="218"/>
      <c r="G111" s="219"/>
      <c r="H111" s="220"/>
    </row>
    <row r="112" spans="3:8" x14ac:dyDescent="0.35">
      <c r="C112" s="225"/>
      <c r="D112" s="222"/>
      <c r="E112" s="217"/>
      <c r="F112" s="218"/>
      <c r="G112" s="219"/>
      <c r="H112" s="220"/>
    </row>
    <row r="113" spans="3:8" x14ac:dyDescent="0.35">
      <c r="C113" s="225"/>
      <c r="D113" s="222"/>
      <c r="E113" s="217"/>
      <c r="F113" s="218"/>
      <c r="G113" s="219"/>
      <c r="H113" s="220"/>
    </row>
    <row r="114" spans="3:8" x14ac:dyDescent="0.35">
      <c r="C114" s="225"/>
      <c r="D114" s="222"/>
      <c r="E114" s="217"/>
      <c r="F114" s="218"/>
      <c r="G114" s="219"/>
      <c r="H114" s="220"/>
    </row>
    <row r="115" spans="3:8" x14ac:dyDescent="0.35">
      <c r="C115" s="225"/>
      <c r="D115" s="222"/>
      <c r="E115" s="217"/>
      <c r="F115" s="218"/>
      <c r="G115" s="219"/>
      <c r="H115" s="220"/>
    </row>
    <row r="116" spans="3:8" x14ac:dyDescent="0.35">
      <c r="C116" s="225"/>
      <c r="D116" s="222"/>
      <c r="E116" s="217"/>
      <c r="F116" s="218"/>
      <c r="G116" s="219"/>
      <c r="H116" s="220"/>
    </row>
    <row r="117" spans="3:8" x14ac:dyDescent="0.35">
      <c r="C117" s="225"/>
      <c r="D117" s="222"/>
      <c r="E117" s="217"/>
      <c r="F117" s="218"/>
      <c r="G117" s="219"/>
      <c r="H117" s="220"/>
    </row>
    <row r="118" spans="3:8" x14ac:dyDescent="0.35">
      <c r="C118" s="225"/>
      <c r="D118" s="222"/>
      <c r="E118" s="217"/>
      <c r="F118" s="218"/>
      <c r="G118" s="219"/>
      <c r="H118" s="220"/>
    </row>
    <row r="119" spans="3:8" x14ac:dyDescent="0.35">
      <c r="C119" s="225"/>
      <c r="D119" s="222"/>
      <c r="E119" s="217"/>
      <c r="F119" s="218"/>
      <c r="G119" s="219"/>
      <c r="H119" s="220"/>
    </row>
    <row r="120" spans="3:8" x14ac:dyDescent="0.35">
      <c r="C120" s="225"/>
      <c r="D120" s="222"/>
      <c r="E120" s="217"/>
      <c r="F120" s="218"/>
      <c r="G120" s="219"/>
      <c r="H120" s="220"/>
    </row>
    <row r="121" spans="3:8" x14ac:dyDescent="0.35">
      <c r="C121" s="225"/>
      <c r="D121" s="222"/>
      <c r="E121" s="217"/>
      <c r="F121" s="218"/>
      <c r="G121" s="219"/>
      <c r="H121" s="220"/>
    </row>
    <row r="122" spans="3:8" x14ac:dyDescent="0.35">
      <c r="C122" s="225"/>
      <c r="D122" s="222"/>
      <c r="E122" s="217"/>
      <c r="F122" s="218"/>
      <c r="G122" s="219"/>
      <c r="H122" s="220"/>
    </row>
    <row r="123" spans="3:8" x14ac:dyDescent="0.35">
      <c r="C123" s="225"/>
      <c r="D123" s="222"/>
      <c r="E123" s="217"/>
      <c r="F123" s="218"/>
      <c r="G123" s="219"/>
      <c r="H123" s="220"/>
    </row>
    <row r="124" spans="3:8" x14ac:dyDescent="0.35">
      <c r="C124" s="225"/>
      <c r="D124" s="222"/>
      <c r="E124" s="217"/>
      <c r="F124" s="218"/>
      <c r="G124" s="219"/>
      <c r="H124" s="220"/>
    </row>
    <row r="125" spans="3:8" x14ac:dyDescent="0.35">
      <c r="C125" s="225"/>
      <c r="D125" s="222"/>
      <c r="E125" s="217"/>
      <c r="F125" s="218"/>
      <c r="G125" s="219"/>
      <c r="H125" s="220"/>
    </row>
    <row r="126" spans="3:8" x14ac:dyDescent="0.35">
      <c r="C126" s="225"/>
      <c r="D126" s="222"/>
      <c r="E126" s="217"/>
      <c r="F126" s="218"/>
      <c r="G126" s="219"/>
      <c r="H126" s="220"/>
    </row>
    <row r="127" spans="3:8" x14ac:dyDescent="0.35">
      <c r="C127" s="225"/>
      <c r="D127" s="222"/>
      <c r="E127" s="217"/>
      <c r="F127" s="218"/>
      <c r="G127" s="219"/>
      <c r="H127" s="220"/>
    </row>
    <row r="128" spans="3:8" x14ac:dyDescent="0.35">
      <c r="C128" s="225"/>
      <c r="D128" s="222"/>
      <c r="E128" s="217"/>
      <c r="F128" s="218"/>
      <c r="G128" s="219"/>
      <c r="H128" s="220"/>
    </row>
    <row r="129" spans="3:8" x14ac:dyDescent="0.35">
      <c r="C129" s="225"/>
      <c r="D129" s="222"/>
      <c r="E129" s="217"/>
      <c r="F129" s="218"/>
      <c r="G129" s="219"/>
      <c r="H129" s="220"/>
    </row>
    <row r="130" spans="3:8" x14ac:dyDescent="0.35">
      <c r="C130" s="225"/>
      <c r="D130" s="222"/>
      <c r="E130" s="217"/>
      <c r="F130" s="218"/>
      <c r="G130" s="219"/>
      <c r="H130" s="220"/>
    </row>
    <row r="131" spans="3:8" x14ac:dyDescent="0.35">
      <c r="C131" s="225"/>
      <c r="D131" s="222"/>
      <c r="E131" s="217"/>
      <c r="F131" s="218"/>
      <c r="G131" s="219"/>
      <c r="H131" s="220"/>
    </row>
    <row r="132" spans="3:8" x14ac:dyDescent="0.35">
      <c r="C132" s="225"/>
      <c r="D132" s="222"/>
      <c r="E132" s="217"/>
      <c r="F132" s="218"/>
      <c r="G132" s="219"/>
      <c r="H132" s="220"/>
    </row>
    <row r="133" spans="3:8" x14ac:dyDescent="0.35">
      <c r="C133" s="225"/>
      <c r="D133" s="222"/>
      <c r="E133" s="217"/>
      <c r="F133" s="218"/>
      <c r="G133" s="219"/>
      <c r="H133" s="220"/>
    </row>
    <row r="134" spans="3:8" x14ac:dyDescent="0.35">
      <c r="C134" s="225"/>
      <c r="D134" s="222"/>
      <c r="E134" s="217"/>
      <c r="F134" s="218"/>
      <c r="G134" s="219"/>
      <c r="H134" s="220"/>
    </row>
    <row r="135" spans="3:8" x14ac:dyDescent="0.35">
      <c r="C135" s="225"/>
      <c r="D135" s="222"/>
      <c r="E135" s="217"/>
      <c r="F135" s="218"/>
      <c r="G135" s="219"/>
      <c r="H135" s="220"/>
    </row>
    <row r="136" spans="3:8" x14ac:dyDescent="0.35">
      <c r="C136" s="225"/>
      <c r="D136" s="222"/>
      <c r="E136" s="217"/>
      <c r="F136" s="218"/>
      <c r="G136" s="219"/>
      <c r="H136" s="220"/>
    </row>
    <row r="137" spans="3:8" x14ac:dyDescent="0.35">
      <c r="C137" s="225"/>
      <c r="D137" s="222"/>
      <c r="E137" s="217"/>
      <c r="F137" s="218"/>
      <c r="G137" s="219"/>
      <c r="H137" s="220"/>
    </row>
    <row r="138" spans="3:8" x14ac:dyDescent="0.35">
      <c r="C138" s="225"/>
      <c r="D138" s="222"/>
      <c r="E138" s="217"/>
      <c r="F138" s="218"/>
      <c r="G138" s="219"/>
      <c r="H138" s="220"/>
    </row>
    <row r="139" spans="3:8" x14ac:dyDescent="0.35">
      <c r="C139" s="225"/>
      <c r="D139" s="222"/>
      <c r="E139" s="217"/>
      <c r="F139" s="218"/>
      <c r="G139" s="219"/>
      <c r="H139" s="220"/>
    </row>
    <row r="140" spans="3:8" x14ac:dyDescent="0.35">
      <c r="C140" s="225"/>
      <c r="D140" s="222"/>
      <c r="E140" s="217"/>
      <c r="F140" s="218"/>
      <c r="G140" s="219"/>
      <c r="H140" s="220"/>
    </row>
    <row r="141" spans="3:8" x14ac:dyDescent="0.35">
      <c r="C141" s="225"/>
      <c r="D141" s="222"/>
      <c r="E141" s="217"/>
      <c r="F141" s="218"/>
      <c r="G141" s="219"/>
      <c r="H141" s="220"/>
    </row>
    <row r="142" spans="3:8" x14ac:dyDescent="0.35">
      <c r="C142" s="225"/>
      <c r="D142" s="222"/>
      <c r="E142" s="217"/>
      <c r="F142" s="218"/>
      <c r="G142" s="219"/>
      <c r="H142" s="220"/>
    </row>
    <row r="143" spans="3:8" x14ac:dyDescent="0.35">
      <c r="C143" s="225"/>
      <c r="D143" s="222"/>
      <c r="E143" s="217"/>
      <c r="F143" s="218"/>
      <c r="G143" s="219"/>
      <c r="H143" s="220"/>
    </row>
    <row r="144" spans="3:8" x14ac:dyDescent="0.35">
      <c r="C144" s="225"/>
      <c r="D144" s="222"/>
      <c r="E144" s="217"/>
      <c r="F144" s="218"/>
      <c r="G144" s="219"/>
      <c r="H144" s="220"/>
    </row>
    <row r="145" spans="3:8" x14ac:dyDescent="0.35">
      <c r="C145" s="225"/>
      <c r="D145" s="222"/>
      <c r="E145" s="217"/>
      <c r="F145" s="218"/>
      <c r="G145" s="219"/>
      <c r="H145" s="220"/>
    </row>
    <row r="146" spans="3:8" x14ac:dyDescent="0.35">
      <c r="C146" s="225"/>
      <c r="D146" s="222"/>
      <c r="E146" s="217"/>
      <c r="F146" s="218"/>
      <c r="G146" s="219"/>
      <c r="H146" s="220"/>
    </row>
    <row r="147" spans="3:8" x14ac:dyDescent="0.35">
      <c r="C147" s="225"/>
      <c r="D147" s="222"/>
      <c r="E147" s="217"/>
      <c r="F147" s="218"/>
      <c r="G147" s="219"/>
      <c r="H147" s="220"/>
    </row>
    <row r="148" spans="3:8" x14ac:dyDescent="0.35">
      <c r="C148" s="225"/>
      <c r="D148" s="222"/>
      <c r="E148" s="217"/>
      <c r="F148" s="218"/>
      <c r="G148" s="219"/>
      <c r="H148" s="220"/>
    </row>
    <row r="149" spans="3:8" x14ac:dyDescent="0.35">
      <c r="C149" s="225"/>
      <c r="D149" s="222"/>
      <c r="E149" s="217"/>
      <c r="F149" s="218"/>
      <c r="G149" s="219"/>
      <c r="H149" s="220"/>
    </row>
    <row r="150" spans="3:8" x14ac:dyDescent="0.35">
      <c r="C150" s="225"/>
      <c r="D150" s="222"/>
      <c r="E150" s="217"/>
      <c r="F150" s="218"/>
      <c r="G150" s="219"/>
      <c r="H150" s="220"/>
    </row>
    <row r="151" spans="3:8" x14ac:dyDescent="0.35">
      <c r="C151" s="225"/>
      <c r="D151" s="222"/>
      <c r="E151" s="217"/>
      <c r="F151" s="218"/>
      <c r="G151" s="219"/>
      <c r="H151" s="220"/>
    </row>
    <row r="152" spans="3:8" x14ac:dyDescent="0.35">
      <c r="C152" s="225"/>
      <c r="D152" s="222"/>
      <c r="E152" s="217"/>
      <c r="F152" s="218"/>
      <c r="G152" s="219"/>
      <c r="H152" s="220"/>
    </row>
    <row r="153" spans="3:8" x14ac:dyDescent="0.35">
      <c r="C153" s="225"/>
      <c r="D153" s="222"/>
      <c r="E153" s="217"/>
      <c r="F153" s="218"/>
      <c r="G153" s="219"/>
      <c r="H153" s="220"/>
    </row>
    <row r="154" spans="3:8" x14ac:dyDescent="0.35">
      <c r="C154" s="225"/>
      <c r="D154" s="222"/>
      <c r="E154" s="217"/>
      <c r="F154" s="218"/>
      <c r="G154" s="219"/>
      <c r="H154" s="220"/>
    </row>
    <row r="155" spans="3:8" x14ac:dyDescent="0.35">
      <c r="C155" s="225"/>
      <c r="D155" s="222"/>
      <c r="E155" s="217"/>
      <c r="F155" s="218"/>
      <c r="G155" s="219"/>
      <c r="H155" s="220"/>
    </row>
    <row r="156" spans="3:8" x14ac:dyDescent="0.35">
      <c r="C156" s="225"/>
      <c r="D156" s="222"/>
      <c r="E156" s="217"/>
      <c r="F156" s="218"/>
      <c r="G156" s="219"/>
      <c r="H156" s="220"/>
    </row>
    <row r="157" spans="3:8" x14ac:dyDescent="0.35">
      <c r="C157" s="225"/>
      <c r="D157" s="222"/>
      <c r="E157" s="217"/>
      <c r="F157" s="218"/>
      <c r="G157" s="219"/>
      <c r="H157" s="220"/>
    </row>
    <row r="158" spans="3:8" x14ac:dyDescent="0.35">
      <c r="C158" s="225"/>
      <c r="D158" s="222"/>
      <c r="E158" s="217"/>
      <c r="F158" s="218"/>
      <c r="G158" s="219"/>
      <c r="H158" s="220"/>
    </row>
    <row r="159" spans="3:8" x14ac:dyDescent="0.35">
      <c r="C159" s="225"/>
      <c r="D159" s="222"/>
      <c r="E159" s="217"/>
      <c r="F159" s="218"/>
      <c r="G159" s="219"/>
      <c r="H159" s="220"/>
    </row>
    <row r="160" spans="3:8" x14ac:dyDescent="0.35">
      <c r="C160" s="225"/>
      <c r="D160" s="222"/>
      <c r="E160" s="217"/>
      <c r="F160" s="218"/>
      <c r="G160" s="219"/>
      <c r="H160" s="220"/>
    </row>
    <row r="161" spans="3:8" x14ac:dyDescent="0.35">
      <c r="C161" s="225"/>
      <c r="D161" s="222"/>
      <c r="E161" s="217"/>
      <c r="F161" s="218"/>
      <c r="G161" s="219"/>
      <c r="H161" s="220"/>
    </row>
    <row r="162" spans="3:8" x14ac:dyDescent="0.35">
      <c r="C162" s="225"/>
      <c r="D162" s="222"/>
      <c r="E162" s="217"/>
      <c r="F162" s="218"/>
      <c r="G162" s="219"/>
      <c r="H162" s="220"/>
    </row>
    <row r="163" spans="3:8" x14ac:dyDescent="0.35">
      <c r="C163" s="225"/>
      <c r="D163" s="222"/>
      <c r="E163" s="217"/>
      <c r="F163" s="218"/>
      <c r="G163" s="219"/>
      <c r="H163" s="220"/>
    </row>
    <row r="164" spans="3:8" x14ac:dyDescent="0.35">
      <c r="C164" s="225"/>
      <c r="D164" s="222"/>
      <c r="E164" s="217"/>
      <c r="F164" s="218"/>
      <c r="G164" s="219"/>
      <c r="H164" s="220"/>
    </row>
    <row r="165" spans="3:8" x14ac:dyDescent="0.35">
      <c r="C165" s="225"/>
      <c r="D165" s="222"/>
      <c r="E165" s="217"/>
      <c r="F165" s="218"/>
      <c r="G165" s="219"/>
      <c r="H165" s="220"/>
    </row>
    <row r="166" spans="3:8" x14ac:dyDescent="0.35">
      <c r="C166" s="225"/>
      <c r="D166" s="222"/>
      <c r="E166" s="217"/>
      <c r="F166" s="218"/>
      <c r="G166" s="219"/>
      <c r="H166" s="220"/>
    </row>
    <row r="167" spans="3:8" x14ac:dyDescent="0.35">
      <c r="C167" s="225"/>
      <c r="D167" s="222"/>
      <c r="E167" s="217"/>
      <c r="F167" s="218"/>
      <c r="G167" s="219"/>
      <c r="H167" s="220"/>
    </row>
    <row r="168" spans="3:8" x14ac:dyDescent="0.35">
      <c r="C168" s="225"/>
      <c r="D168" s="222"/>
      <c r="E168" s="217"/>
      <c r="F168" s="218"/>
      <c r="G168" s="219"/>
      <c r="H168" s="220"/>
    </row>
    <row r="169" spans="3:8" x14ac:dyDescent="0.35">
      <c r="C169" s="225"/>
      <c r="D169" s="222"/>
      <c r="E169" s="217"/>
      <c r="F169" s="218"/>
      <c r="G169" s="219"/>
      <c r="H169" s="220"/>
    </row>
    <row r="170" spans="3:8" x14ac:dyDescent="0.35">
      <c r="C170" s="225"/>
      <c r="D170" s="222"/>
      <c r="E170" s="217"/>
      <c r="F170" s="218"/>
      <c r="G170" s="219"/>
      <c r="H170" s="220"/>
    </row>
    <row r="171" spans="3:8" x14ac:dyDescent="0.35">
      <c r="C171" s="225"/>
      <c r="D171" s="222"/>
      <c r="E171" s="217"/>
      <c r="F171" s="218"/>
      <c r="G171" s="219"/>
      <c r="H171" s="220"/>
    </row>
    <row r="172" spans="3:8" x14ac:dyDescent="0.35">
      <c r="C172" s="225"/>
      <c r="D172" s="222"/>
      <c r="E172" s="217"/>
      <c r="F172" s="218"/>
      <c r="G172" s="219"/>
      <c r="H172" s="220"/>
    </row>
    <row r="173" spans="3:8" x14ac:dyDescent="0.35">
      <c r="C173" s="225"/>
      <c r="D173" s="222"/>
      <c r="E173" s="217"/>
      <c r="F173" s="218"/>
      <c r="G173" s="219"/>
      <c r="H173" s="220"/>
    </row>
    <row r="174" spans="3:8" x14ac:dyDescent="0.35">
      <c r="C174" s="225"/>
      <c r="D174" s="222"/>
      <c r="E174" s="217"/>
      <c r="F174" s="218"/>
      <c r="G174" s="219"/>
      <c r="H174" s="220"/>
    </row>
    <row r="175" spans="3:8" x14ac:dyDescent="0.35">
      <c r="C175" s="225"/>
      <c r="D175" s="222"/>
      <c r="E175" s="217"/>
      <c r="F175" s="218"/>
      <c r="G175" s="219"/>
      <c r="H175" s="220"/>
    </row>
    <row r="176" spans="3:8" x14ac:dyDescent="0.35">
      <c r="C176" s="225"/>
      <c r="D176" s="222"/>
      <c r="E176" s="217"/>
      <c r="F176" s="218"/>
      <c r="G176" s="219"/>
      <c r="H176" s="220"/>
    </row>
    <row r="177" spans="3:8" x14ac:dyDescent="0.35">
      <c r="C177" s="225"/>
      <c r="D177" s="222"/>
      <c r="E177" s="217"/>
      <c r="F177" s="218"/>
      <c r="G177" s="219"/>
      <c r="H177" s="220"/>
    </row>
    <row r="178" spans="3:8" x14ac:dyDescent="0.35">
      <c r="C178" s="225"/>
      <c r="D178" s="222"/>
      <c r="E178" s="217"/>
      <c r="F178" s="218"/>
      <c r="G178" s="219"/>
      <c r="H178" s="220"/>
    </row>
    <row r="179" spans="3:8" x14ac:dyDescent="0.35">
      <c r="C179" s="225"/>
      <c r="D179" s="222"/>
      <c r="E179" s="217"/>
      <c r="F179" s="218"/>
      <c r="G179" s="219"/>
      <c r="H179" s="220"/>
    </row>
    <row r="180" spans="3:8" x14ac:dyDescent="0.35">
      <c r="C180" s="225"/>
      <c r="D180" s="222"/>
      <c r="E180" s="217"/>
      <c r="F180" s="218"/>
      <c r="G180" s="219"/>
      <c r="H180" s="220"/>
    </row>
    <row r="181" spans="3:8" x14ac:dyDescent="0.35">
      <c r="C181" s="225"/>
      <c r="D181" s="222"/>
      <c r="E181" s="217"/>
      <c r="F181" s="218"/>
      <c r="G181" s="219"/>
      <c r="H181" s="220"/>
    </row>
    <row r="182" spans="3:8" x14ac:dyDescent="0.35">
      <c r="C182" s="225"/>
      <c r="D182" s="222"/>
      <c r="E182" s="217"/>
      <c r="F182" s="218"/>
      <c r="G182" s="219"/>
      <c r="H182" s="220"/>
    </row>
    <row r="183" spans="3:8" x14ac:dyDescent="0.35">
      <c r="C183" s="225"/>
      <c r="D183" s="222"/>
      <c r="E183" s="217"/>
      <c r="F183" s="218"/>
      <c r="G183" s="219"/>
      <c r="H183" s="220"/>
    </row>
    <row r="184" spans="3:8" x14ac:dyDescent="0.35">
      <c r="C184" s="225"/>
      <c r="D184" s="222"/>
      <c r="E184" s="217"/>
      <c r="F184" s="218"/>
      <c r="G184" s="219"/>
      <c r="H184" s="220"/>
    </row>
    <row r="185" spans="3:8" x14ac:dyDescent="0.35">
      <c r="C185" s="225"/>
      <c r="D185" s="222"/>
      <c r="E185" s="217"/>
      <c r="F185" s="218"/>
      <c r="G185" s="219"/>
      <c r="H185" s="220"/>
    </row>
    <row r="186" spans="3:8" x14ac:dyDescent="0.35">
      <c r="C186" s="225"/>
      <c r="D186" s="222"/>
      <c r="E186" s="217"/>
      <c r="F186" s="218"/>
      <c r="G186" s="219"/>
      <c r="H186" s="220"/>
    </row>
    <row r="187" spans="3:8" x14ac:dyDescent="0.35">
      <c r="C187" s="225"/>
      <c r="D187" s="222"/>
      <c r="E187" s="217"/>
      <c r="F187" s="218"/>
      <c r="G187" s="219"/>
      <c r="H187" s="220"/>
    </row>
    <row r="188" spans="3:8" x14ac:dyDescent="0.35">
      <c r="C188" s="225"/>
      <c r="D188" s="222"/>
      <c r="E188" s="217"/>
      <c r="F188" s="218"/>
      <c r="G188" s="219"/>
      <c r="H188" s="220"/>
    </row>
    <row r="189" spans="3:8" x14ac:dyDescent="0.35">
      <c r="C189" s="225"/>
      <c r="D189" s="222"/>
      <c r="E189" s="217"/>
      <c r="F189" s="218"/>
      <c r="G189" s="219"/>
      <c r="H189" s="220"/>
    </row>
    <row r="190" spans="3:8" x14ac:dyDescent="0.35">
      <c r="C190" s="225"/>
      <c r="D190" s="222"/>
      <c r="E190" s="217"/>
      <c r="F190" s="218"/>
      <c r="G190" s="219"/>
      <c r="H190" s="220"/>
    </row>
    <row r="191" spans="3:8" x14ac:dyDescent="0.35">
      <c r="C191" s="225"/>
      <c r="D191" s="222"/>
      <c r="E191" s="217"/>
      <c r="F191" s="218"/>
      <c r="G191" s="219"/>
      <c r="H191" s="220"/>
    </row>
    <row r="192" spans="3:8" x14ac:dyDescent="0.35">
      <c r="C192" s="225"/>
      <c r="D192" s="222"/>
      <c r="E192" s="217"/>
      <c r="F192" s="218"/>
      <c r="G192" s="219"/>
      <c r="H192" s="220"/>
    </row>
    <row r="193" spans="3:8" x14ac:dyDescent="0.35">
      <c r="C193" s="225"/>
      <c r="D193" s="222"/>
      <c r="E193" s="217"/>
      <c r="F193" s="218"/>
      <c r="G193" s="219"/>
      <c r="H193" s="220"/>
    </row>
    <row r="194" spans="3:8" x14ac:dyDescent="0.35">
      <c r="C194" s="225"/>
      <c r="D194" s="222"/>
      <c r="E194" s="217"/>
      <c r="F194" s="218"/>
      <c r="G194" s="219"/>
      <c r="H194" s="220"/>
    </row>
    <row r="195" spans="3:8" x14ac:dyDescent="0.35">
      <c r="C195" s="225"/>
      <c r="D195" s="222"/>
      <c r="E195" s="217"/>
      <c r="F195" s="218"/>
      <c r="G195" s="219"/>
      <c r="H195" s="220"/>
    </row>
    <row r="196" spans="3:8" x14ac:dyDescent="0.35">
      <c r="C196" s="225"/>
      <c r="D196" s="222"/>
      <c r="E196" s="217"/>
      <c r="F196" s="218"/>
      <c r="G196" s="219"/>
      <c r="H196" s="220"/>
    </row>
    <row r="197" spans="3:8" x14ac:dyDescent="0.35">
      <c r="C197" s="225"/>
      <c r="D197" s="222"/>
      <c r="E197" s="217"/>
      <c r="F197" s="218"/>
      <c r="G197" s="219"/>
      <c r="H197" s="220"/>
    </row>
    <row r="198" spans="3:8" x14ac:dyDescent="0.35">
      <c r="C198" s="225"/>
      <c r="D198" s="222"/>
      <c r="E198" s="217"/>
      <c r="F198" s="218"/>
      <c r="G198" s="219"/>
      <c r="H198" s="220"/>
    </row>
    <row r="199" spans="3:8" x14ac:dyDescent="0.35">
      <c r="C199" s="225"/>
      <c r="D199" s="222"/>
      <c r="E199" s="217"/>
      <c r="F199" s="218"/>
      <c r="G199" s="219"/>
      <c r="H199" s="220"/>
    </row>
    <row r="200" spans="3:8" x14ac:dyDescent="0.35">
      <c r="C200" s="225"/>
      <c r="D200" s="222"/>
      <c r="E200" s="217"/>
      <c r="F200" s="218"/>
      <c r="G200" s="219"/>
      <c r="H200" s="220"/>
    </row>
    <row r="201" spans="3:8" x14ac:dyDescent="0.35">
      <c r="C201" s="225"/>
      <c r="D201" s="222"/>
      <c r="E201" s="217"/>
      <c r="F201" s="218"/>
      <c r="G201" s="219"/>
      <c r="H201" s="220"/>
    </row>
    <row r="202" spans="3:8" x14ac:dyDescent="0.35">
      <c r="C202" s="225"/>
      <c r="D202" s="222"/>
      <c r="E202" s="217"/>
      <c r="F202" s="218"/>
      <c r="G202" s="219"/>
      <c r="H202" s="220"/>
    </row>
    <row r="203" spans="3:8" x14ac:dyDescent="0.35">
      <c r="C203" s="225"/>
      <c r="D203" s="222"/>
      <c r="E203" s="217"/>
      <c r="F203" s="218"/>
      <c r="G203" s="219"/>
      <c r="H203" s="220"/>
    </row>
    <row r="204" spans="3:8" x14ac:dyDescent="0.35">
      <c r="C204" s="225"/>
      <c r="D204" s="222"/>
      <c r="E204" s="217"/>
      <c r="F204" s="218"/>
      <c r="G204" s="219"/>
      <c r="H204" s="220"/>
    </row>
    <row r="205" spans="3:8" x14ac:dyDescent="0.35">
      <c r="C205" s="225"/>
      <c r="D205" s="222"/>
      <c r="E205" s="217"/>
      <c r="F205" s="218"/>
      <c r="G205" s="219"/>
      <c r="H205" s="220"/>
    </row>
    <row r="206" spans="3:8" x14ac:dyDescent="0.35">
      <c r="C206" s="225"/>
      <c r="D206" s="222"/>
      <c r="E206" s="217"/>
      <c r="F206" s="218"/>
      <c r="G206" s="219"/>
      <c r="H206" s="220"/>
    </row>
    <row r="207" spans="3:8" x14ac:dyDescent="0.35">
      <c r="C207" s="225"/>
      <c r="D207" s="222"/>
      <c r="E207" s="217"/>
      <c r="F207" s="218"/>
      <c r="G207" s="219"/>
      <c r="H207" s="220"/>
    </row>
    <row r="208" spans="3:8" x14ac:dyDescent="0.35">
      <c r="C208" s="225"/>
      <c r="D208" s="222"/>
      <c r="E208" s="217"/>
      <c r="F208" s="218"/>
      <c r="G208" s="219"/>
      <c r="H208" s="220"/>
    </row>
    <row r="209" spans="3:8" x14ac:dyDescent="0.35">
      <c r="C209" s="225"/>
      <c r="D209" s="222"/>
      <c r="E209" s="217"/>
      <c r="F209" s="218"/>
      <c r="G209" s="219"/>
      <c r="H209" s="220"/>
    </row>
    <row r="210" spans="3:8" x14ac:dyDescent="0.35">
      <c r="C210" s="225"/>
      <c r="D210" s="222"/>
      <c r="E210" s="217"/>
      <c r="F210" s="218"/>
      <c r="G210" s="219"/>
      <c r="H210" s="220"/>
    </row>
    <row r="211" spans="3:8" x14ac:dyDescent="0.35">
      <c r="C211" s="225"/>
      <c r="D211" s="222"/>
      <c r="E211" s="217"/>
      <c r="F211" s="218"/>
      <c r="G211" s="219"/>
      <c r="H211" s="220"/>
    </row>
    <row r="212" spans="3:8" x14ac:dyDescent="0.35">
      <c r="C212" s="225"/>
      <c r="D212" s="222"/>
      <c r="E212" s="217"/>
      <c r="F212" s="218"/>
      <c r="G212" s="219"/>
      <c r="H212" s="220"/>
    </row>
    <row r="213" spans="3:8" x14ac:dyDescent="0.35">
      <c r="C213" s="225"/>
      <c r="D213" s="222"/>
      <c r="E213" s="217"/>
      <c r="F213" s="218"/>
      <c r="G213" s="219"/>
      <c r="H213" s="220"/>
    </row>
    <row r="214" spans="3:8" x14ac:dyDescent="0.35">
      <c r="C214" s="225"/>
      <c r="D214" s="222"/>
      <c r="E214" s="217"/>
      <c r="F214" s="218"/>
      <c r="G214" s="219"/>
      <c r="H214" s="220"/>
    </row>
    <row r="215" spans="3:8" x14ac:dyDescent="0.35">
      <c r="C215" s="225"/>
      <c r="D215" s="222"/>
      <c r="E215" s="217"/>
      <c r="F215" s="218"/>
      <c r="G215" s="219"/>
      <c r="H215" s="220"/>
    </row>
    <row r="216" spans="3:8" x14ac:dyDescent="0.35">
      <c r="C216" s="225"/>
      <c r="D216" s="222"/>
      <c r="E216" s="217"/>
      <c r="F216" s="218"/>
      <c r="G216" s="219"/>
      <c r="H216" s="220"/>
    </row>
    <row r="217" spans="3:8" x14ac:dyDescent="0.35">
      <c r="C217" s="225"/>
      <c r="D217" s="222"/>
      <c r="E217" s="217"/>
      <c r="F217" s="218"/>
      <c r="G217" s="219"/>
      <c r="H217" s="220"/>
    </row>
    <row r="218" spans="3:8" x14ac:dyDescent="0.35">
      <c r="C218" s="225"/>
      <c r="D218" s="222"/>
      <c r="E218" s="217"/>
      <c r="F218" s="218"/>
      <c r="G218" s="219"/>
      <c r="H218" s="220"/>
    </row>
    <row r="219" spans="3:8" x14ac:dyDescent="0.35">
      <c r="C219" s="225"/>
      <c r="D219" s="222"/>
      <c r="E219" s="217"/>
      <c r="F219" s="218"/>
      <c r="G219" s="219"/>
      <c r="H219" s="220"/>
    </row>
    <row r="220" spans="3:8" x14ac:dyDescent="0.35">
      <c r="C220" s="225"/>
      <c r="D220" s="222"/>
      <c r="E220" s="217"/>
      <c r="F220" s="218"/>
      <c r="G220" s="219"/>
      <c r="H220" s="220"/>
    </row>
    <row r="221" spans="3:8" x14ac:dyDescent="0.35">
      <c r="C221" s="225"/>
      <c r="D221" s="222"/>
      <c r="E221" s="217"/>
      <c r="F221" s="218"/>
      <c r="G221" s="219"/>
      <c r="H221" s="220"/>
    </row>
    <row r="222" spans="3:8" x14ac:dyDescent="0.35">
      <c r="C222" s="225"/>
      <c r="D222" s="222"/>
      <c r="E222" s="217"/>
      <c r="F222" s="218"/>
      <c r="G222" s="219"/>
      <c r="H222" s="220"/>
    </row>
    <row r="223" spans="3:8" x14ac:dyDescent="0.35">
      <c r="C223" s="225"/>
      <c r="D223" s="222"/>
      <c r="E223" s="217"/>
      <c r="F223" s="218"/>
      <c r="G223" s="219"/>
      <c r="H223" s="220"/>
    </row>
    <row r="224" spans="3:8" x14ac:dyDescent="0.35">
      <c r="C224" s="225"/>
      <c r="D224" s="222"/>
      <c r="E224" s="217"/>
      <c r="F224" s="218"/>
      <c r="G224" s="219"/>
      <c r="H224" s="220"/>
    </row>
    <row r="225" spans="3:8" x14ac:dyDescent="0.35">
      <c r="C225" s="225"/>
      <c r="D225" s="222"/>
      <c r="E225" s="217"/>
      <c r="F225" s="218"/>
      <c r="G225" s="219"/>
      <c r="H225" s="220"/>
    </row>
    <row r="226" spans="3:8" x14ac:dyDescent="0.35">
      <c r="C226" s="225"/>
      <c r="D226" s="222"/>
      <c r="E226" s="217"/>
      <c r="F226" s="218"/>
      <c r="G226" s="219"/>
      <c r="H226" s="220"/>
    </row>
    <row r="227" spans="3:8" x14ac:dyDescent="0.35">
      <c r="C227" s="225"/>
      <c r="D227" s="222"/>
      <c r="E227" s="217"/>
      <c r="F227" s="218"/>
      <c r="G227" s="219"/>
      <c r="H227" s="220"/>
    </row>
    <row r="228" spans="3:8" x14ac:dyDescent="0.35">
      <c r="C228" s="225"/>
      <c r="D228" s="222"/>
      <c r="E228" s="217"/>
      <c r="F228" s="218"/>
      <c r="G228" s="219"/>
      <c r="H228" s="220"/>
    </row>
    <row r="229" spans="3:8" x14ac:dyDescent="0.35">
      <c r="C229" s="225"/>
      <c r="D229" s="222"/>
      <c r="E229" s="217"/>
      <c r="F229" s="218"/>
      <c r="G229" s="219"/>
      <c r="H229" s="220"/>
    </row>
    <row r="230" spans="3:8" x14ac:dyDescent="0.35">
      <c r="C230" s="225"/>
      <c r="D230" s="222"/>
      <c r="E230" s="217"/>
      <c r="F230" s="218"/>
      <c r="G230" s="219"/>
      <c r="H230" s="220"/>
    </row>
    <row r="231" spans="3:8" x14ac:dyDescent="0.35">
      <c r="C231" s="225"/>
      <c r="D231" s="222"/>
      <c r="E231" s="217"/>
      <c r="F231" s="218"/>
      <c r="G231" s="219"/>
      <c r="H231" s="220"/>
    </row>
    <row r="232" spans="3:8" x14ac:dyDescent="0.35">
      <c r="C232" s="225"/>
      <c r="D232" s="222"/>
      <c r="E232" s="217"/>
      <c r="F232" s="218"/>
      <c r="G232" s="219"/>
      <c r="H232" s="220"/>
    </row>
    <row r="233" spans="3:8" x14ac:dyDescent="0.35">
      <c r="C233" s="225"/>
      <c r="D233" s="222"/>
      <c r="E233" s="217"/>
      <c r="F233" s="218"/>
      <c r="G233" s="219"/>
      <c r="H233" s="220"/>
    </row>
    <row r="234" spans="3:8" x14ac:dyDescent="0.35">
      <c r="C234" s="225"/>
      <c r="D234" s="222"/>
      <c r="E234" s="217"/>
      <c r="F234" s="218"/>
      <c r="G234" s="219"/>
      <c r="H234" s="220"/>
    </row>
    <row r="235" spans="3:8" x14ac:dyDescent="0.35">
      <c r="C235" s="225"/>
      <c r="D235" s="222"/>
      <c r="E235" s="217"/>
      <c r="F235" s="218"/>
      <c r="G235" s="219"/>
      <c r="H235" s="220"/>
    </row>
    <row r="236" spans="3:8" x14ac:dyDescent="0.35">
      <c r="C236" s="225"/>
      <c r="D236" s="222"/>
      <c r="E236" s="217"/>
      <c r="F236" s="218"/>
      <c r="G236" s="219"/>
      <c r="H236" s="220"/>
    </row>
    <row r="237" spans="3:8" x14ac:dyDescent="0.35">
      <c r="C237" s="225"/>
      <c r="D237" s="222"/>
      <c r="E237" s="217"/>
      <c r="F237" s="218"/>
      <c r="G237" s="219"/>
      <c r="H237" s="220"/>
    </row>
    <row r="238" spans="3:8" x14ac:dyDescent="0.35">
      <c r="C238" s="225"/>
      <c r="D238" s="222"/>
      <c r="E238" s="217"/>
      <c r="F238" s="218"/>
      <c r="G238" s="219"/>
      <c r="H238" s="220"/>
    </row>
    <row r="239" spans="3:8" x14ac:dyDescent="0.35">
      <c r="C239" s="225"/>
      <c r="D239" s="222"/>
      <c r="E239" s="217"/>
      <c r="F239" s="218"/>
      <c r="G239" s="219"/>
      <c r="H239" s="220"/>
    </row>
    <row r="240" spans="3:8" x14ac:dyDescent="0.35">
      <c r="C240" s="225"/>
      <c r="D240" s="222"/>
      <c r="E240" s="217"/>
      <c r="F240" s="218"/>
      <c r="G240" s="219"/>
      <c r="H240" s="220"/>
    </row>
    <row r="241" spans="3:8" x14ac:dyDescent="0.35">
      <c r="C241" s="225"/>
      <c r="D241" s="222"/>
      <c r="E241" s="217"/>
      <c r="F241" s="218"/>
      <c r="G241" s="219"/>
      <c r="H241" s="220"/>
    </row>
    <row r="242" spans="3:8" x14ac:dyDescent="0.35">
      <c r="C242" s="225"/>
      <c r="D242" s="222"/>
      <c r="E242" s="217"/>
      <c r="F242" s="218"/>
      <c r="G242" s="219"/>
      <c r="H242" s="220"/>
    </row>
    <row r="243" spans="3:8" x14ac:dyDescent="0.35">
      <c r="C243" s="225"/>
      <c r="D243" s="222"/>
      <c r="E243" s="217"/>
      <c r="F243" s="218"/>
      <c r="G243" s="219"/>
      <c r="H243" s="220"/>
    </row>
    <row r="244" spans="3:8" x14ac:dyDescent="0.35">
      <c r="C244" s="225"/>
      <c r="D244" s="222"/>
      <c r="E244" s="217"/>
      <c r="F244" s="218"/>
      <c r="G244" s="219"/>
      <c r="H244" s="220"/>
    </row>
    <row r="245" spans="3:8" x14ac:dyDescent="0.35">
      <c r="C245" s="225"/>
      <c r="D245" s="222"/>
      <c r="E245" s="217"/>
      <c r="F245" s="218"/>
      <c r="G245" s="219"/>
      <c r="H245" s="220"/>
    </row>
    <row r="246" spans="3:8" x14ac:dyDescent="0.35">
      <c r="C246" s="225"/>
      <c r="D246" s="222"/>
      <c r="E246" s="217"/>
      <c r="F246" s="218"/>
      <c r="G246" s="219"/>
      <c r="H246" s="220"/>
    </row>
    <row r="247" spans="3:8" x14ac:dyDescent="0.35">
      <c r="C247" s="225"/>
      <c r="D247" s="222"/>
      <c r="E247" s="217"/>
      <c r="F247" s="218"/>
      <c r="G247" s="219"/>
      <c r="H247" s="220"/>
    </row>
    <row r="248" spans="3:8" x14ac:dyDescent="0.35">
      <c r="C248" s="225"/>
      <c r="D248" s="222"/>
      <c r="E248" s="217"/>
      <c r="F248" s="218"/>
      <c r="G248" s="219"/>
      <c r="H248" s="220"/>
    </row>
    <row r="249" spans="3:8" x14ac:dyDescent="0.35">
      <c r="C249" s="225"/>
      <c r="D249" s="222"/>
      <c r="E249" s="217"/>
      <c r="F249" s="218"/>
      <c r="G249" s="219"/>
      <c r="H249" s="220"/>
    </row>
    <row r="250" spans="3:8" x14ac:dyDescent="0.35">
      <c r="C250" s="225"/>
      <c r="D250" s="222"/>
      <c r="E250" s="217"/>
      <c r="F250" s="218"/>
      <c r="G250" s="219"/>
      <c r="H250" s="220"/>
    </row>
    <row r="251" spans="3:8" x14ac:dyDescent="0.35">
      <c r="C251" s="225"/>
      <c r="D251" s="222"/>
      <c r="E251" s="217"/>
      <c r="F251" s="218"/>
      <c r="G251" s="219"/>
      <c r="H251" s="220"/>
    </row>
    <row r="252" spans="3:8" x14ac:dyDescent="0.35">
      <c r="C252" s="225"/>
      <c r="D252" s="222"/>
      <c r="E252" s="217"/>
      <c r="F252" s="218"/>
      <c r="G252" s="219"/>
      <c r="H252" s="220"/>
    </row>
    <row r="253" spans="3:8" x14ac:dyDescent="0.35">
      <c r="C253" s="225"/>
      <c r="D253" s="222"/>
      <c r="E253" s="217"/>
      <c r="F253" s="218"/>
      <c r="G253" s="219"/>
      <c r="H253" s="220"/>
    </row>
    <row r="254" spans="3:8" x14ac:dyDescent="0.35">
      <c r="C254" s="225"/>
      <c r="D254" s="222"/>
      <c r="E254" s="217"/>
      <c r="F254" s="218"/>
      <c r="G254" s="219"/>
      <c r="H254" s="220"/>
    </row>
    <row r="255" spans="3:8" x14ac:dyDescent="0.35">
      <c r="C255" s="225"/>
      <c r="D255" s="222"/>
      <c r="E255" s="217"/>
      <c r="F255" s="218"/>
      <c r="G255" s="219"/>
      <c r="H255" s="220"/>
    </row>
    <row r="256" spans="3:8" x14ac:dyDescent="0.35">
      <c r="C256" s="225"/>
      <c r="D256" s="222"/>
      <c r="E256" s="217"/>
      <c r="F256" s="218"/>
      <c r="G256" s="219"/>
      <c r="H256" s="220"/>
    </row>
    <row r="257" spans="3:8" x14ac:dyDescent="0.35">
      <c r="C257" s="225"/>
      <c r="D257" s="222"/>
      <c r="E257" s="217"/>
      <c r="F257" s="218"/>
      <c r="G257" s="219"/>
      <c r="H257" s="220"/>
    </row>
    <row r="258" spans="3:8" x14ac:dyDescent="0.35">
      <c r="C258" s="225"/>
      <c r="D258" s="222"/>
      <c r="E258" s="217"/>
      <c r="F258" s="218"/>
      <c r="G258" s="219"/>
      <c r="H258" s="220"/>
    </row>
    <row r="259" spans="3:8" x14ac:dyDescent="0.35">
      <c r="C259" s="225"/>
      <c r="D259" s="222"/>
      <c r="E259" s="217"/>
      <c r="F259" s="218"/>
      <c r="G259" s="219"/>
      <c r="H259" s="220"/>
    </row>
    <row r="260" spans="3:8" x14ac:dyDescent="0.35">
      <c r="C260" s="225"/>
      <c r="D260" s="222"/>
      <c r="E260" s="217"/>
      <c r="F260" s="218"/>
      <c r="G260" s="219"/>
      <c r="H260" s="220"/>
    </row>
    <row r="261" spans="3:8" x14ac:dyDescent="0.35">
      <c r="C261" s="225"/>
      <c r="D261" s="222"/>
      <c r="E261" s="217"/>
      <c r="F261" s="218"/>
      <c r="G261" s="219"/>
      <c r="H261" s="220"/>
    </row>
    <row r="262" spans="3:8" x14ac:dyDescent="0.35">
      <c r="C262" s="225"/>
      <c r="D262" s="222"/>
      <c r="E262" s="217"/>
      <c r="F262" s="218"/>
      <c r="G262" s="219"/>
      <c r="H262" s="220"/>
    </row>
    <row r="263" spans="3:8" x14ac:dyDescent="0.35">
      <c r="C263" s="225"/>
      <c r="D263" s="222"/>
      <c r="E263" s="217"/>
      <c r="F263" s="218"/>
      <c r="G263" s="219"/>
      <c r="H263" s="220"/>
    </row>
    <row r="264" spans="3:8" x14ac:dyDescent="0.35">
      <c r="C264" s="225"/>
      <c r="D264" s="222"/>
      <c r="E264" s="217"/>
      <c r="F264" s="218"/>
      <c r="G264" s="219"/>
      <c r="H264" s="220"/>
    </row>
    <row r="265" spans="3:8" x14ac:dyDescent="0.35">
      <c r="C265" s="225"/>
      <c r="D265" s="222"/>
      <c r="E265" s="217"/>
      <c r="F265" s="218"/>
      <c r="G265" s="219"/>
      <c r="H265" s="220"/>
    </row>
    <row r="266" spans="3:8" x14ac:dyDescent="0.35">
      <c r="C266" s="225"/>
      <c r="D266" s="222"/>
      <c r="E266" s="217"/>
      <c r="F266" s="218"/>
      <c r="G266" s="219"/>
      <c r="H266" s="220"/>
    </row>
    <row r="267" spans="3:8" x14ac:dyDescent="0.35">
      <c r="C267" s="225"/>
      <c r="D267" s="222"/>
      <c r="E267" s="217"/>
      <c r="F267" s="218"/>
      <c r="G267" s="219"/>
      <c r="H267" s="220"/>
    </row>
    <row r="268" spans="3:8" x14ac:dyDescent="0.35">
      <c r="C268" s="225"/>
      <c r="D268" s="222"/>
      <c r="E268" s="217"/>
      <c r="F268" s="218"/>
      <c r="G268" s="219"/>
      <c r="H268" s="220"/>
    </row>
    <row r="269" spans="3:8" x14ac:dyDescent="0.35">
      <c r="C269" s="225"/>
      <c r="D269" s="222"/>
      <c r="E269" s="217"/>
      <c r="F269" s="218"/>
      <c r="G269" s="219"/>
      <c r="H269" s="220"/>
    </row>
    <row r="270" spans="3:8" x14ac:dyDescent="0.35">
      <c r="C270" s="225"/>
      <c r="D270" s="222"/>
      <c r="E270" s="217"/>
      <c r="F270" s="218"/>
      <c r="G270" s="219"/>
      <c r="H270" s="220"/>
    </row>
    <row r="271" spans="3:8" x14ac:dyDescent="0.35">
      <c r="C271" s="225"/>
      <c r="D271" s="222"/>
      <c r="E271" s="217"/>
      <c r="F271" s="218"/>
      <c r="G271" s="219"/>
      <c r="H271" s="220"/>
    </row>
    <row r="272" spans="3:8" x14ac:dyDescent="0.35">
      <c r="C272" s="225"/>
      <c r="D272" s="222"/>
      <c r="E272" s="217"/>
      <c r="F272" s="218"/>
      <c r="G272" s="219"/>
      <c r="H272" s="220"/>
    </row>
    <row r="273" spans="3:8" x14ac:dyDescent="0.35">
      <c r="C273" s="225"/>
      <c r="D273" s="222"/>
      <c r="E273" s="217"/>
      <c r="F273" s="218"/>
      <c r="G273" s="219"/>
      <c r="H273" s="220"/>
    </row>
    <row r="274" spans="3:8" x14ac:dyDescent="0.35">
      <c r="C274" s="225"/>
      <c r="D274" s="222"/>
      <c r="E274" s="217"/>
      <c r="F274" s="218"/>
      <c r="G274" s="219"/>
      <c r="H274" s="220"/>
    </row>
    <row r="275" spans="3:8" x14ac:dyDescent="0.35">
      <c r="C275" s="225"/>
      <c r="D275" s="222"/>
      <c r="E275" s="217"/>
      <c r="F275" s="218"/>
      <c r="G275" s="219"/>
      <c r="H275" s="220"/>
    </row>
    <row r="276" spans="3:8" x14ac:dyDescent="0.35">
      <c r="C276" s="225"/>
      <c r="D276" s="222"/>
      <c r="E276" s="217"/>
      <c r="F276" s="218"/>
      <c r="G276" s="219"/>
      <c r="H276" s="220"/>
    </row>
    <row r="277" spans="3:8" x14ac:dyDescent="0.35">
      <c r="C277" s="225"/>
      <c r="D277" s="222"/>
      <c r="E277" s="217"/>
      <c r="F277" s="218"/>
      <c r="G277" s="219"/>
      <c r="H277" s="220"/>
    </row>
    <row r="278" spans="3:8" x14ac:dyDescent="0.35">
      <c r="C278" s="225"/>
      <c r="D278" s="222"/>
      <c r="E278" s="217"/>
      <c r="F278" s="218"/>
      <c r="G278" s="219"/>
      <c r="H278" s="220"/>
    </row>
    <row r="279" spans="3:8" x14ac:dyDescent="0.35">
      <c r="C279" s="225"/>
      <c r="D279" s="222"/>
      <c r="E279" s="217"/>
      <c r="F279" s="218"/>
      <c r="G279" s="219"/>
      <c r="H279" s="220"/>
    </row>
    <row r="280" spans="3:8" x14ac:dyDescent="0.35">
      <c r="C280" s="225"/>
      <c r="D280" s="222"/>
      <c r="E280" s="217"/>
      <c r="F280" s="218"/>
      <c r="G280" s="219"/>
      <c r="H280" s="220"/>
    </row>
    <row r="281" spans="3:8" x14ac:dyDescent="0.35">
      <c r="C281" s="225"/>
      <c r="D281" s="222"/>
      <c r="E281" s="217"/>
      <c r="F281" s="218"/>
      <c r="G281" s="219"/>
      <c r="H281" s="220"/>
    </row>
    <row r="282" spans="3:8" x14ac:dyDescent="0.35">
      <c r="C282" s="225"/>
      <c r="D282" s="222"/>
      <c r="E282" s="217"/>
      <c r="F282" s="218"/>
      <c r="G282" s="219"/>
      <c r="H282" s="220"/>
    </row>
    <row r="283" spans="3:8" x14ac:dyDescent="0.35">
      <c r="C283" s="225"/>
      <c r="D283" s="222"/>
      <c r="E283" s="217"/>
      <c r="F283" s="218"/>
      <c r="G283" s="219"/>
      <c r="H283" s="220"/>
    </row>
    <row r="284" spans="3:8" x14ac:dyDescent="0.35">
      <c r="C284" s="225"/>
      <c r="D284" s="222"/>
      <c r="E284" s="217"/>
      <c r="F284" s="218"/>
      <c r="G284" s="219"/>
      <c r="H284" s="220"/>
    </row>
    <row r="285" spans="3:8" x14ac:dyDescent="0.35">
      <c r="C285" s="225"/>
      <c r="D285" s="222"/>
      <c r="E285" s="217"/>
      <c r="F285" s="218"/>
      <c r="G285" s="219"/>
      <c r="H285" s="220"/>
    </row>
    <row r="286" spans="3:8" x14ac:dyDescent="0.35">
      <c r="C286" s="225"/>
      <c r="D286" s="222"/>
      <c r="E286" s="217"/>
      <c r="F286" s="218"/>
      <c r="G286" s="219"/>
      <c r="H286" s="220"/>
    </row>
    <row r="287" spans="3:8" x14ac:dyDescent="0.35">
      <c r="C287" s="225"/>
      <c r="D287" s="222"/>
      <c r="E287" s="217"/>
      <c r="F287" s="218"/>
      <c r="G287" s="219"/>
      <c r="H287" s="220"/>
    </row>
    <row r="288" spans="3:8" x14ac:dyDescent="0.35">
      <c r="C288" s="225"/>
      <c r="D288" s="222"/>
      <c r="E288" s="217"/>
      <c r="F288" s="218"/>
      <c r="G288" s="219"/>
      <c r="H288" s="220"/>
    </row>
    <row r="289" spans="3:8" x14ac:dyDescent="0.35">
      <c r="C289" s="225"/>
      <c r="D289" s="222"/>
      <c r="E289" s="217"/>
      <c r="F289" s="218"/>
      <c r="G289" s="219"/>
      <c r="H289" s="220"/>
    </row>
    <row r="290" spans="3:8" x14ac:dyDescent="0.35">
      <c r="C290" s="225"/>
      <c r="D290" s="222"/>
      <c r="E290" s="217"/>
      <c r="F290" s="218"/>
      <c r="G290" s="219"/>
      <c r="H290" s="220"/>
    </row>
    <row r="291" spans="3:8" x14ac:dyDescent="0.35">
      <c r="C291" s="225"/>
      <c r="D291" s="222"/>
      <c r="E291" s="217"/>
      <c r="F291" s="218"/>
      <c r="G291" s="219"/>
      <c r="H291" s="220"/>
    </row>
    <row r="292" spans="3:8" x14ac:dyDescent="0.35">
      <c r="C292" s="225"/>
      <c r="D292" s="222"/>
      <c r="E292" s="217"/>
      <c r="F292" s="218"/>
      <c r="G292" s="219"/>
      <c r="H292" s="220"/>
    </row>
    <row r="293" spans="3:8" x14ac:dyDescent="0.35">
      <c r="C293" s="225"/>
      <c r="D293" s="222"/>
      <c r="E293" s="217"/>
      <c r="F293" s="218"/>
      <c r="G293" s="219"/>
      <c r="H293" s="220"/>
    </row>
    <row r="294" spans="3:8" x14ac:dyDescent="0.35">
      <c r="C294" s="225"/>
      <c r="D294" s="222"/>
      <c r="E294" s="217"/>
      <c r="F294" s="218"/>
      <c r="G294" s="219"/>
      <c r="H294" s="220"/>
    </row>
    <row r="295" spans="3:8" x14ac:dyDescent="0.35">
      <c r="C295" s="225"/>
      <c r="D295" s="222"/>
      <c r="E295" s="217"/>
      <c r="F295" s="218"/>
      <c r="G295" s="219"/>
      <c r="H295" s="220"/>
    </row>
    <row r="296" spans="3:8" x14ac:dyDescent="0.35">
      <c r="C296" s="225"/>
      <c r="D296" s="222"/>
      <c r="E296" s="217"/>
      <c r="F296" s="218"/>
      <c r="G296" s="219"/>
      <c r="H296" s="220"/>
    </row>
    <row r="297" spans="3:8" x14ac:dyDescent="0.35">
      <c r="C297" s="225"/>
      <c r="D297" s="222"/>
      <c r="E297" s="217"/>
      <c r="F297" s="218"/>
      <c r="G297" s="219"/>
      <c r="H297" s="220"/>
    </row>
    <row r="298" spans="3:8" x14ac:dyDescent="0.35">
      <c r="C298" s="225"/>
      <c r="D298" s="222"/>
      <c r="E298" s="217"/>
      <c r="F298" s="218"/>
      <c r="G298" s="219"/>
      <c r="H298" s="220"/>
    </row>
    <row r="299" spans="3:8" x14ac:dyDescent="0.35">
      <c r="C299" s="225"/>
      <c r="D299" s="222"/>
      <c r="E299" s="217"/>
      <c r="F299" s="218"/>
      <c r="G299" s="219"/>
      <c r="H299" s="220"/>
    </row>
    <row r="300" spans="3:8" x14ac:dyDescent="0.35">
      <c r="C300" s="225"/>
      <c r="D300" s="222"/>
      <c r="E300" s="217"/>
      <c r="F300" s="218"/>
      <c r="G300" s="219"/>
      <c r="H300" s="220"/>
    </row>
    <row r="301" spans="3:8" x14ac:dyDescent="0.35">
      <c r="C301" s="225"/>
      <c r="D301" s="222"/>
      <c r="E301" s="217"/>
      <c r="F301" s="218"/>
      <c r="G301" s="219"/>
      <c r="H301" s="220"/>
    </row>
    <row r="302" spans="3:8" x14ac:dyDescent="0.35">
      <c r="C302" s="225"/>
      <c r="D302" s="222"/>
      <c r="E302" s="217"/>
      <c r="F302" s="218"/>
      <c r="G302" s="219"/>
      <c r="H302" s="220"/>
    </row>
    <row r="303" spans="3:8" x14ac:dyDescent="0.35">
      <c r="C303" s="225"/>
      <c r="D303" s="222"/>
      <c r="E303" s="217"/>
      <c r="F303" s="218"/>
      <c r="G303" s="219"/>
      <c r="H303" s="220"/>
    </row>
    <row r="304" spans="3:8" x14ac:dyDescent="0.35">
      <c r="C304" s="225"/>
      <c r="D304" s="222"/>
      <c r="E304" s="217"/>
      <c r="F304" s="218"/>
      <c r="G304" s="219"/>
      <c r="H304" s="220"/>
    </row>
    <row r="305" spans="3:8" x14ac:dyDescent="0.35">
      <c r="C305" s="225"/>
      <c r="D305" s="222"/>
      <c r="E305" s="217"/>
      <c r="F305" s="218"/>
      <c r="G305" s="219"/>
      <c r="H305" s="220"/>
    </row>
    <row r="306" spans="3:8" x14ac:dyDescent="0.35">
      <c r="C306" s="225"/>
      <c r="D306" s="222"/>
      <c r="E306" s="217"/>
      <c r="F306" s="218"/>
      <c r="G306" s="219"/>
      <c r="H306" s="220"/>
    </row>
    <row r="307" spans="3:8" x14ac:dyDescent="0.35">
      <c r="C307" s="225"/>
      <c r="D307" s="222"/>
      <c r="E307" s="217"/>
      <c r="F307" s="218"/>
      <c r="G307" s="219"/>
      <c r="H307" s="220"/>
    </row>
    <row r="308" spans="3:8" x14ac:dyDescent="0.35">
      <c r="C308" s="225"/>
      <c r="D308" s="222"/>
      <c r="E308" s="217"/>
      <c r="F308" s="218"/>
      <c r="G308" s="219"/>
      <c r="H308" s="220"/>
    </row>
    <row r="309" spans="3:8" x14ac:dyDescent="0.35">
      <c r="C309" s="225"/>
      <c r="D309" s="222"/>
      <c r="E309" s="217"/>
      <c r="F309" s="218"/>
      <c r="G309" s="219"/>
      <c r="H309" s="220"/>
    </row>
    <row r="310" spans="3:8" x14ac:dyDescent="0.35">
      <c r="C310" s="225"/>
      <c r="D310" s="222"/>
      <c r="E310" s="217"/>
      <c r="F310" s="218"/>
      <c r="G310" s="219"/>
      <c r="H310" s="220"/>
    </row>
    <row r="311" spans="3:8" x14ac:dyDescent="0.35">
      <c r="C311" s="225"/>
      <c r="D311" s="222"/>
      <c r="E311" s="217"/>
      <c r="F311" s="218"/>
      <c r="G311" s="219"/>
      <c r="H311" s="220"/>
    </row>
    <row r="312" spans="3:8" x14ac:dyDescent="0.35">
      <c r="C312" s="225"/>
      <c r="D312" s="222"/>
      <c r="E312" s="217"/>
      <c r="F312" s="218"/>
      <c r="G312" s="219"/>
      <c r="H312" s="220"/>
    </row>
    <row r="313" spans="3:8" x14ac:dyDescent="0.35">
      <c r="C313" s="225"/>
      <c r="D313" s="222"/>
      <c r="E313" s="217"/>
      <c r="F313" s="218"/>
      <c r="G313" s="219"/>
      <c r="H313" s="220"/>
    </row>
    <row r="314" spans="3:8" x14ac:dyDescent="0.35">
      <c r="C314" s="225"/>
      <c r="D314" s="222"/>
      <c r="E314" s="217"/>
      <c r="F314" s="218"/>
      <c r="G314" s="219"/>
      <c r="H314" s="220"/>
    </row>
    <row r="315" spans="3:8" x14ac:dyDescent="0.35">
      <c r="C315" s="225"/>
      <c r="D315" s="222"/>
      <c r="E315" s="217"/>
      <c r="F315" s="218"/>
      <c r="G315" s="219"/>
      <c r="H315" s="220"/>
    </row>
    <row r="316" spans="3:8" x14ac:dyDescent="0.35">
      <c r="C316" s="225"/>
      <c r="D316" s="222"/>
      <c r="E316" s="217"/>
      <c r="F316" s="218"/>
      <c r="G316" s="219"/>
      <c r="H316" s="220"/>
    </row>
    <row r="317" spans="3:8" x14ac:dyDescent="0.35">
      <c r="C317" s="225"/>
      <c r="D317" s="222"/>
      <c r="E317" s="217"/>
      <c r="F317" s="218"/>
      <c r="G317" s="219"/>
      <c r="H317" s="220"/>
    </row>
    <row r="318" spans="3:8" x14ac:dyDescent="0.35">
      <c r="C318" s="225"/>
      <c r="D318" s="222"/>
      <c r="E318" s="217"/>
      <c r="F318" s="218"/>
      <c r="G318" s="219"/>
      <c r="H318" s="220"/>
    </row>
    <row r="319" spans="3:8" x14ac:dyDescent="0.35">
      <c r="C319" s="225"/>
      <c r="D319" s="222"/>
      <c r="E319" s="217"/>
      <c r="F319" s="218"/>
      <c r="G319" s="219"/>
      <c r="H319" s="220"/>
    </row>
    <row r="320" spans="3:8" x14ac:dyDescent="0.35">
      <c r="C320" s="225"/>
      <c r="D320" s="222"/>
      <c r="E320" s="217"/>
      <c r="F320" s="218"/>
      <c r="G320" s="219"/>
      <c r="H320" s="220"/>
    </row>
    <row r="321" spans="3:8" x14ac:dyDescent="0.35">
      <c r="C321" s="225"/>
      <c r="D321" s="222"/>
      <c r="E321" s="217"/>
      <c r="F321" s="218"/>
      <c r="G321" s="219"/>
      <c r="H321" s="220"/>
    </row>
    <row r="322" spans="3:8" x14ac:dyDescent="0.35">
      <c r="C322" s="225"/>
      <c r="D322" s="222"/>
      <c r="E322" s="217"/>
      <c r="F322" s="218"/>
      <c r="G322" s="219"/>
      <c r="H322" s="220"/>
    </row>
    <row r="323" spans="3:8" x14ac:dyDescent="0.35">
      <c r="C323" s="225"/>
      <c r="D323" s="222"/>
      <c r="E323" s="217"/>
      <c r="F323" s="218"/>
      <c r="G323" s="219"/>
      <c r="H323" s="220"/>
    </row>
    <row r="324" spans="3:8" x14ac:dyDescent="0.35">
      <c r="C324" s="225"/>
      <c r="D324" s="222"/>
      <c r="E324" s="217"/>
      <c r="F324" s="218"/>
      <c r="G324" s="219"/>
      <c r="H324" s="220"/>
    </row>
    <row r="325" spans="3:8" x14ac:dyDescent="0.35">
      <c r="C325" s="225"/>
      <c r="D325" s="222"/>
      <c r="E325" s="217"/>
      <c r="F325" s="218"/>
      <c r="G325" s="219"/>
      <c r="H325" s="220"/>
    </row>
    <row r="326" spans="3:8" x14ac:dyDescent="0.35">
      <c r="C326" s="225"/>
      <c r="D326" s="222"/>
      <c r="E326" s="217"/>
      <c r="F326" s="218"/>
      <c r="G326" s="219"/>
      <c r="H326" s="220"/>
    </row>
    <row r="327" spans="3:8" x14ac:dyDescent="0.35">
      <c r="C327" s="225"/>
      <c r="D327" s="222"/>
      <c r="E327" s="217"/>
      <c r="F327" s="218"/>
      <c r="G327" s="219"/>
      <c r="H327" s="220"/>
    </row>
    <row r="328" spans="3:8" x14ac:dyDescent="0.35">
      <c r="C328" s="225"/>
      <c r="D328" s="222"/>
      <c r="E328" s="217"/>
      <c r="F328" s="218"/>
      <c r="G328" s="219"/>
      <c r="H328" s="220"/>
    </row>
    <row r="329" spans="3:8" x14ac:dyDescent="0.35">
      <c r="C329" s="225"/>
      <c r="D329" s="222"/>
      <c r="E329" s="217"/>
      <c r="F329" s="218"/>
      <c r="G329" s="219"/>
      <c r="H329" s="220"/>
    </row>
    <row r="330" spans="3:8" x14ac:dyDescent="0.35">
      <c r="C330" s="225"/>
      <c r="D330" s="222"/>
      <c r="E330" s="217"/>
      <c r="F330" s="218"/>
      <c r="G330" s="219"/>
      <c r="H330" s="220"/>
    </row>
    <row r="331" spans="3:8" x14ac:dyDescent="0.35">
      <c r="C331" s="225"/>
      <c r="D331" s="222"/>
      <c r="E331" s="217"/>
      <c r="F331" s="218"/>
      <c r="G331" s="219"/>
      <c r="H331" s="220"/>
    </row>
    <row r="332" spans="3:8" x14ac:dyDescent="0.35">
      <c r="C332" s="225"/>
      <c r="D332" s="222"/>
      <c r="E332" s="217"/>
      <c r="F332" s="218"/>
      <c r="G332" s="219"/>
      <c r="H332" s="220"/>
    </row>
    <row r="333" spans="3:8" x14ac:dyDescent="0.35">
      <c r="C333" s="225"/>
      <c r="D333" s="222"/>
      <c r="E333" s="217"/>
      <c r="F333" s="218"/>
      <c r="G333" s="219"/>
      <c r="H333" s="220"/>
    </row>
    <row r="334" spans="3:8" x14ac:dyDescent="0.35">
      <c r="C334" s="225"/>
      <c r="D334" s="222"/>
      <c r="E334" s="217"/>
      <c r="F334" s="218"/>
      <c r="G334" s="219"/>
      <c r="H334" s="220"/>
    </row>
    <row r="335" spans="3:8" x14ac:dyDescent="0.35">
      <c r="C335" s="225"/>
      <c r="D335" s="222"/>
      <c r="E335" s="217"/>
      <c r="F335" s="218"/>
      <c r="G335" s="219"/>
      <c r="H335" s="220"/>
    </row>
    <row r="336" spans="3:8" x14ac:dyDescent="0.35">
      <c r="C336" s="225"/>
      <c r="D336" s="222"/>
      <c r="E336" s="217"/>
      <c r="F336" s="218"/>
      <c r="G336" s="219"/>
      <c r="H336" s="220"/>
    </row>
    <row r="337" spans="3:8" x14ac:dyDescent="0.35">
      <c r="C337" s="225"/>
      <c r="D337" s="222"/>
      <c r="E337" s="217"/>
      <c r="F337" s="218"/>
      <c r="G337" s="219"/>
      <c r="H337" s="220"/>
    </row>
    <row r="338" spans="3:8" x14ac:dyDescent="0.35">
      <c r="C338" s="225"/>
      <c r="D338" s="222"/>
      <c r="E338" s="217"/>
      <c r="F338" s="218"/>
      <c r="G338" s="219"/>
      <c r="H338" s="220"/>
    </row>
    <row r="339" spans="3:8" x14ac:dyDescent="0.35">
      <c r="C339" s="225"/>
      <c r="D339" s="222"/>
      <c r="E339" s="217"/>
      <c r="F339" s="218"/>
      <c r="G339" s="219"/>
      <c r="H339" s="220"/>
    </row>
    <row r="340" spans="3:8" x14ac:dyDescent="0.35">
      <c r="C340" s="225"/>
      <c r="D340" s="222"/>
      <c r="E340" s="217"/>
      <c r="F340" s="218"/>
      <c r="G340" s="219"/>
      <c r="H340" s="220"/>
    </row>
    <row r="341" spans="3:8" x14ac:dyDescent="0.35">
      <c r="C341" s="225"/>
      <c r="D341" s="222"/>
      <c r="E341" s="217"/>
      <c r="F341" s="218"/>
      <c r="G341" s="219"/>
      <c r="H341" s="220"/>
    </row>
    <row r="342" spans="3:8" x14ac:dyDescent="0.35">
      <c r="C342" s="225"/>
      <c r="D342" s="222"/>
      <c r="E342" s="217"/>
      <c r="F342" s="218"/>
      <c r="G342" s="219"/>
      <c r="H342" s="220"/>
    </row>
    <row r="343" spans="3:8" x14ac:dyDescent="0.35">
      <c r="C343" s="225"/>
      <c r="D343" s="222"/>
      <c r="E343" s="217"/>
      <c r="F343" s="218"/>
      <c r="G343" s="219"/>
      <c r="H343" s="220"/>
    </row>
    <row r="344" spans="3:8" x14ac:dyDescent="0.35">
      <c r="C344" s="225"/>
      <c r="D344" s="222"/>
      <c r="E344" s="217"/>
      <c r="F344" s="218"/>
      <c r="G344" s="219"/>
      <c r="H344" s="220"/>
    </row>
    <row r="345" spans="3:8" x14ac:dyDescent="0.35">
      <c r="C345" s="225"/>
      <c r="D345" s="222"/>
      <c r="E345" s="217"/>
      <c r="F345" s="218"/>
      <c r="G345" s="219"/>
      <c r="H345" s="220"/>
    </row>
    <row r="346" spans="3:8" x14ac:dyDescent="0.35">
      <c r="C346" s="225"/>
      <c r="D346" s="222"/>
      <c r="E346" s="217"/>
      <c r="F346" s="218"/>
      <c r="G346" s="219"/>
      <c r="H346" s="220"/>
    </row>
    <row r="347" spans="3:8" x14ac:dyDescent="0.35">
      <c r="C347" s="225"/>
      <c r="D347" s="222"/>
      <c r="E347" s="217"/>
      <c r="F347" s="218"/>
      <c r="G347" s="219"/>
      <c r="H347" s="220"/>
    </row>
    <row r="348" spans="3:8" x14ac:dyDescent="0.35">
      <c r="C348" s="225"/>
      <c r="D348" s="222"/>
      <c r="E348" s="217"/>
      <c r="F348" s="218"/>
      <c r="G348" s="219"/>
      <c r="H348" s="220"/>
    </row>
    <row r="349" spans="3:8" x14ac:dyDescent="0.35">
      <c r="C349" s="225"/>
      <c r="D349" s="222"/>
      <c r="E349" s="217"/>
      <c r="F349" s="218"/>
      <c r="G349" s="219"/>
      <c r="H349" s="220"/>
    </row>
    <row r="350" spans="3:8" x14ac:dyDescent="0.35">
      <c r="C350" s="225"/>
      <c r="D350" s="222"/>
      <c r="E350" s="217"/>
      <c r="F350" s="218"/>
      <c r="G350" s="219"/>
      <c r="H350" s="220"/>
    </row>
    <row r="351" spans="3:8" x14ac:dyDescent="0.35">
      <c r="C351" s="225"/>
      <c r="D351" s="222"/>
      <c r="E351" s="217"/>
      <c r="F351" s="218"/>
      <c r="G351" s="219"/>
      <c r="H351" s="220"/>
    </row>
    <row r="352" spans="3:8" x14ac:dyDescent="0.35">
      <c r="C352" s="225"/>
      <c r="D352" s="222"/>
      <c r="E352" s="217"/>
      <c r="F352" s="218"/>
      <c r="G352" s="219"/>
      <c r="H352" s="220"/>
    </row>
    <row r="353" spans="3:8" x14ac:dyDescent="0.35">
      <c r="C353" s="225"/>
      <c r="D353" s="222"/>
      <c r="E353" s="217"/>
      <c r="F353" s="218"/>
      <c r="G353" s="219"/>
      <c r="H353" s="220"/>
    </row>
    <row r="354" spans="3:8" x14ac:dyDescent="0.35">
      <c r="C354" s="225"/>
      <c r="D354" s="222"/>
      <c r="E354" s="217"/>
      <c r="F354" s="218"/>
      <c r="G354" s="219"/>
      <c r="H354" s="220"/>
    </row>
    <row r="355" spans="3:8" x14ac:dyDescent="0.35">
      <c r="C355" s="225"/>
      <c r="D355" s="222"/>
      <c r="E355" s="217"/>
      <c r="F355" s="218"/>
      <c r="G355" s="219"/>
      <c r="H355" s="220"/>
    </row>
    <row r="356" spans="3:8" x14ac:dyDescent="0.35">
      <c r="C356" s="225"/>
      <c r="D356" s="222"/>
      <c r="E356" s="217"/>
      <c r="F356" s="218"/>
      <c r="G356" s="219"/>
      <c r="H356" s="220"/>
    </row>
    <row r="357" spans="3:8" x14ac:dyDescent="0.35">
      <c r="C357" s="225"/>
      <c r="D357" s="222"/>
      <c r="E357" s="217"/>
      <c r="F357" s="218"/>
      <c r="G357" s="219"/>
      <c r="H357" s="220"/>
    </row>
    <row r="358" spans="3:8" x14ac:dyDescent="0.35">
      <c r="C358" s="225"/>
      <c r="D358" s="222"/>
      <c r="E358" s="217"/>
      <c r="F358" s="218"/>
      <c r="G358" s="219"/>
      <c r="H358" s="220"/>
    </row>
    <row r="359" spans="3:8" x14ac:dyDescent="0.35">
      <c r="C359" s="225"/>
      <c r="D359" s="222"/>
      <c r="E359" s="217"/>
      <c r="F359" s="218"/>
      <c r="G359" s="219"/>
      <c r="H359" s="220"/>
    </row>
    <row r="360" spans="3:8" x14ac:dyDescent="0.35">
      <c r="C360" s="225"/>
      <c r="D360" s="222"/>
      <c r="E360" s="217"/>
      <c r="F360" s="218"/>
      <c r="G360" s="219"/>
      <c r="H360" s="220"/>
    </row>
    <row r="361" spans="3:8" x14ac:dyDescent="0.35">
      <c r="C361" s="225"/>
      <c r="D361" s="222"/>
      <c r="E361" s="217"/>
      <c r="F361" s="218"/>
      <c r="G361" s="219"/>
      <c r="H361" s="220"/>
    </row>
    <row r="362" spans="3:8" x14ac:dyDescent="0.35">
      <c r="C362" s="225"/>
      <c r="D362" s="222"/>
      <c r="E362" s="217"/>
      <c r="F362" s="218"/>
      <c r="G362" s="219"/>
      <c r="H362" s="220"/>
    </row>
    <row r="363" spans="3:8" x14ac:dyDescent="0.35">
      <c r="C363" s="225"/>
      <c r="D363" s="222"/>
      <c r="E363" s="217"/>
      <c r="F363" s="218"/>
      <c r="G363" s="219"/>
      <c r="H363" s="220"/>
    </row>
    <row r="364" spans="3:8" x14ac:dyDescent="0.35">
      <c r="C364" s="225"/>
      <c r="D364" s="222"/>
      <c r="E364" s="217"/>
      <c r="F364" s="218"/>
      <c r="G364" s="219"/>
      <c r="H364" s="220"/>
    </row>
    <row r="365" spans="3:8" x14ac:dyDescent="0.35">
      <c r="C365" s="225"/>
      <c r="D365" s="222"/>
      <c r="E365" s="217"/>
      <c r="F365" s="218"/>
      <c r="G365" s="219"/>
      <c r="H365" s="220"/>
    </row>
    <row r="366" spans="3:8" x14ac:dyDescent="0.35">
      <c r="C366" s="225"/>
      <c r="D366" s="222"/>
      <c r="E366" s="217"/>
      <c r="F366" s="218"/>
      <c r="G366" s="219"/>
      <c r="H366" s="220"/>
    </row>
    <row r="367" spans="3:8" x14ac:dyDescent="0.35">
      <c r="C367" s="225"/>
      <c r="D367" s="222"/>
      <c r="E367" s="217"/>
      <c r="F367" s="218"/>
      <c r="G367" s="219"/>
      <c r="H367" s="220"/>
    </row>
    <row r="368" spans="3:8" x14ac:dyDescent="0.35">
      <c r="C368" s="225"/>
      <c r="D368" s="222"/>
      <c r="E368" s="217"/>
      <c r="F368" s="218"/>
      <c r="G368" s="219"/>
      <c r="H368" s="220"/>
    </row>
    <row r="369" spans="3:8" x14ac:dyDescent="0.35">
      <c r="C369" s="225"/>
      <c r="D369" s="222"/>
      <c r="E369" s="217"/>
      <c r="F369" s="218"/>
      <c r="G369" s="219"/>
      <c r="H369" s="220"/>
    </row>
    <row r="370" spans="3:8" x14ac:dyDescent="0.35">
      <c r="C370" s="225"/>
      <c r="D370" s="222"/>
      <c r="E370" s="217"/>
      <c r="F370" s="218"/>
      <c r="G370" s="219"/>
      <c r="H370" s="220"/>
    </row>
    <row r="371" spans="3:8" x14ac:dyDescent="0.35">
      <c r="C371" s="225"/>
      <c r="D371" s="222"/>
      <c r="E371" s="217"/>
      <c r="F371" s="218"/>
      <c r="G371" s="219"/>
      <c r="H371" s="220"/>
    </row>
    <row r="372" spans="3:8" x14ac:dyDescent="0.35">
      <c r="C372" s="225"/>
      <c r="D372" s="222"/>
      <c r="E372" s="217"/>
      <c r="F372" s="218"/>
      <c r="G372" s="219"/>
      <c r="H372" s="220"/>
    </row>
    <row r="373" spans="3:8" x14ac:dyDescent="0.35">
      <c r="C373" s="225"/>
      <c r="D373" s="222"/>
      <c r="E373" s="217"/>
      <c r="F373" s="218"/>
      <c r="G373" s="219"/>
      <c r="H373" s="220"/>
    </row>
    <row r="374" spans="3:8" x14ac:dyDescent="0.35">
      <c r="C374" s="225"/>
      <c r="D374" s="222"/>
      <c r="E374" s="217"/>
      <c r="F374" s="218"/>
      <c r="G374" s="219"/>
      <c r="H374" s="220"/>
    </row>
    <row r="375" spans="3:8" x14ac:dyDescent="0.35">
      <c r="C375" s="225"/>
      <c r="D375" s="222"/>
      <c r="E375" s="217"/>
      <c r="F375" s="218"/>
      <c r="G375" s="219"/>
      <c r="H375" s="220"/>
    </row>
    <row r="376" spans="3:8" x14ac:dyDescent="0.35">
      <c r="C376" s="225"/>
      <c r="D376" s="222"/>
      <c r="E376" s="217"/>
      <c r="F376" s="218"/>
      <c r="G376" s="219"/>
      <c r="H376" s="220"/>
    </row>
    <row r="377" spans="3:8" x14ac:dyDescent="0.35">
      <c r="C377" s="225"/>
      <c r="D377" s="222"/>
      <c r="E377" s="217"/>
      <c r="F377" s="218"/>
      <c r="G377" s="219"/>
      <c r="H377" s="220"/>
    </row>
    <row r="378" spans="3:8" x14ac:dyDescent="0.35">
      <c r="C378" s="225"/>
      <c r="D378" s="222"/>
      <c r="E378" s="217"/>
      <c r="F378" s="218"/>
      <c r="G378" s="219"/>
      <c r="H378" s="220"/>
    </row>
    <row r="379" spans="3:8" x14ac:dyDescent="0.35">
      <c r="C379" s="225"/>
      <c r="D379" s="222"/>
      <c r="E379" s="217"/>
      <c r="F379" s="218"/>
      <c r="G379" s="219"/>
      <c r="H379" s="220"/>
    </row>
    <row r="380" spans="3:8" x14ac:dyDescent="0.35">
      <c r="C380" s="225"/>
      <c r="D380" s="222"/>
      <c r="E380" s="217"/>
      <c r="F380" s="218"/>
      <c r="G380" s="219"/>
      <c r="H380" s="220"/>
    </row>
    <row r="381" spans="3:8" x14ac:dyDescent="0.35">
      <c r="C381" s="225"/>
      <c r="D381" s="222"/>
      <c r="E381" s="217"/>
      <c r="F381" s="218"/>
      <c r="G381" s="219"/>
      <c r="H381" s="220"/>
    </row>
    <row r="382" spans="3:8" x14ac:dyDescent="0.35">
      <c r="C382" s="225"/>
      <c r="D382" s="222"/>
      <c r="E382" s="217"/>
      <c r="F382" s="218"/>
      <c r="G382" s="219"/>
      <c r="H382" s="220"/>
    </row>
    <row r="383" spans="3:8" x14ac:dyDescent="0.35">
      <c r="C383" s="225"/>
      <c r="D383" s="222"/>
      <c r="E383" s="217"/>
      <c r="F383" s="218"/>
      <c r="G383" s="219"/>
      <c r="H383" s="220"/>
    </row>
    <row r="384" spans="3:8" x14ac:dyDescent="0.35">
      <c r="C384" s="225"/>
      <c r="D384" s="222"/>
      <c r="E384" s="217"/>
      <c r="F384" s="218"/>
      <c r="G384" s="219"/>
      <c r="H384" s="220"/>
    </row>
    <row r="385" spans="3:8" x14ac:dyDescent="0.35">
      <c r="C385" s="225"/>
      <c r="D385" s="222"/>
      <c r="E385" s="217"/>
      <c r="F385" s="218"/>
      <c r="G385" s="219"/>
      <c r="H385" s="220"/>
    </row>
    <row r="386" spans="3:8" x14ac:dyDescent="0.35">
      <c r="C386" s="225"/>
      <c r="D386" s="222"/>
      <c r="E386" s="217"/>
      <c r="F386" s="218"/>
      <c r="G386" s="219"/>
      <c r="H386" s="220"/>
    </row>
    <row r="387" spans="3:8" x14ac:dyDescent="0.35">
      <c r="C387" s="225"/>
      <c r="D387" s="223"/>
    </row>
    <row r="388" spans="3:8" x14ac:dyDescent="0.35">
      <c r="C388" s="225"/>
      <c r="D388" s="223"/>
    </row>
    <row r="389" spans="3:8" x14ac:dyDescent="0.35">
      <c r="C389" s="225"/>
      <c r="D389" s="223"/>
    </row>
    <row r="390" spans="3:8" x14ac:dyDescent="0.35">
      <c r="C390" s="225"/>
      <c r="D390" s="223"/>
    </row>
    <row r="391" spans="3:8" x14ac:dyDescent="0.35">
      <c r="C391" s="225"/>
      <c r="D391" s="223"/>
    </row>
    <row r="392" spans="3:8" x14ac:dyDescent="0.35">
      <c r="C392" s="225"/>
      <c r="D392" s="223"/>
    </row>
    <row r="393" spans="3:8" x14ac:dyDescent="0.35">
      <c r="C393" s="225"/>
      <c r="D393" s="223"/>
    </row>
    <row r="394" spans="3:8" x14ac:dyDescent="0.35">
      <c r="C394" s="225"/>
      <c r="D394" s="223"/>
    </row>
    <row r="395" spans="3:8" x14ac:dyDescent="0.35">
      <c r="C395" s="225"/>
      <c r="D395" s="223"/>
    </row>
    <row r="396" spans="3:8" x14ac:dyDescent="0.35">
      <c r="C396" s="225"/>
      <c r="D396" s="223"/>
    </row>
    <row r="397" spans="3:8" x14ac:dyDescent="0.35">
      <c r="C397" s="225"/>
      <c r="D397" s="223"/>
    </row>
    <row r="398" spans="3:8" x14ac:dyDescent="0.35">
      <c r="C398" s="225"/>
      <c r="D398" s="223"/>
    </row>
    <row r="399" spans="3:8" x14ac:dyDescent="0.35">
      <c r="C399" s="225"/>
      <c r="D399" s="223"/>
    </row>
    <row r="400" spans="3:8" x14ac:dyDescent="0.35">
      <c r="C400" s="225"/>
      <c r="D400" s="223"/>
    </row>
    <row r="401" spans="3:4" x14ac:dyDescent="0.35">
      <c r="C401" s="225"/>
      <c r="D401" s="223"/>
    </row>
    <row r="402" spans="3:4" x14ac:dyDescent="0.35">
      <c r="C402" s="225"/>
      <c r="D402" s="223"/>
    </row>
    <row r="403" spans="3:4" x14ac:dyDescent="0.35">
      <c r="C403" s="225"/>
      <c r="D403" s="223"/>
    </row>
    <row r="404" spans="3:4" x14ac:dyDescent="0.35">
      <c r="C404" s="225"/>
      <c r="D404" s="223"/>
    </row>
    <row r="405" spans="3:4" x14ac:dyDescent="0.35">
      <c r="C405" s="225"/>
      <c r="D405" s="223"/>
    </row>
    <row r="406" spans="3:4" x14ac:dyDescent="0.35">
      <c r="C406" s="225"/>
      <c r="D406" s="223"/>
    </row>
    <row r="407" spans="3:4" x14ac:dyDescent="0.35">
      <c r="C407" s="225"/>
      <c r="D407" s="223"/>
    </row>
    <row r="408" spans="3:4" x14ac:dyDescent="0.35">
      <c r="C408" s="225"/>
      <c r="D408" s="223"/>
    </row>
    <row r="409" spans="3:4" x14ac:dyDescent="0.35">
      <c r="C409" s="225"/>
      <c r="D409" s="223"/>
    </row>
    <row r="410" spans="3:4" x14ac:dyDescent="0.35">
      <c r="C410" s="225"/>
      <c r="D410" s="223"/>
    </row>
    <row r="411" spans="3:4" x14ac:dyDescent="0.35">
      <c r="C411" s="225"/>
      <c r="D411" s="223"/>
    </row>
    <row r="412" spans="3:4" x14ac:dyDescent="0.35">
      <c r="C412" s="225"/>
      <c r="D412" s="223"/>
    </row>
    <row r="413" spans="3:4" x14ac:dyDescent="0.35">
      <c r="C413" s="225"/>
      <c r="D413" s="223"/>
    </row>
    <row r="414" spans="3:4" x14ac:dyDescent="0.35">
      <c r="C414" s="225"/>
      <c r="D414" s="223"/>
    </row>
    <row r="415" spans="3:4" x14ac:dyDescent="0.35">
      <c r="C415" s="225"/>
      <c r="D415" s="223"/>
    </row>
    <row r="416" spans="3:4" x14ac:dyDescent="0.35">
      <c r="C416" s="225"/>
      <c r="D416" s="223"/>
    </row>
    <row r="417" spans="3:4" x14ac:dyDescent="0.35">
      <c r="C417" s="225"/>
      <c r="D417" s="223"/>
    </row>
    <row r="418" spans="3:4" x14ac:dyDescent="0.35">
      <c r="C418" s="225"/>
      <c r="D418" s="223"/>
    </row>
    <row r="419" spans="3:4" x14ac:dyDescent="0.35">
      <c r="C419" s="225"/>
      <c r="D419" s="223"/>
    </row>
    <row r="420" spans="3:4" x14ac:dyDescent="0.35">
      <c r="C420" s="225"/>
      <c r="D420" s="223"/>
    </row>
    <row r="421" spans="3:4" x14ac:dyDescent="0.35">
      <c r="C421" s="225"/>
      <c r="D421" s="223"/>
    </row>
    <row r="422" spans="3:4" x14ac:dyDescent="0.35">
      <c r="C422" s="225"/>
      <c r="D422" s="223"/>
    </row>
    <row r="423" spans="3:4" x14ac:dyDescent="0.35">
      <c r="C423" s="225"/>
      <c r="D423" s="223"/>
    </row>
    <row r="424" spans="3:4" x14ac:dyDescent="0.35">
      <c r="C424" s="225"/>
      <c r="D424" s="223"/>
    </row>
    <row r="425" spans="3:4" x14ac:dyDescent="0.35">
      <c r="C425" s="225"/>
      <c r="D425" s="223"/>
    </row>
    <row r="426" spans="3:4" x14ac:dyDescent="0.35">
      <c r="C426" s="225"/>
      <c r="D426" s="223"/>
    </row>
    <row r="427" spans="3:4" x14ac:dyDescent="0.35">
      <c r="C427" s="225"/>
      <c r="D427" s="223"/>
    </row>
    <row r="428" spans="3:4" x14ac:dyDescent="0.35">
      <c r="C428" s="225"/>
      <c r="D428" s="223"/>
    </row>
    <row r="429" spans="3:4" x14ac:dyDescent="0.35">
      <c r="C429" s="225"/>
      <c r="D429" s="223"/>
    </row>
    <row r="430" spans="3:4" x14ac:dyDescent="0.35">
      <c r="C430" s="225"/>
      <c r="D430" s="223"/>
    </row>
    <row r="431" spans="3:4" x14ac:dyDescent="0.35">
      <c r="C431" s="225"/>
      <c r="D431" s="223"/>
    </row>
    <row r="432" spans="3:4" x14ac:dyDescent="0.35">
      <c r="C432" s="225"/>
      <c r="D432" s="223"/>
    </row>
    <row r="433" spans="3:4" x14ac:dyDescent="0.35">
      <c r="C433" s="225"/>
      <c r="D433" s="223"/>
    </row>
    <row r="434" spans="3:4" x14ac:dyDescent="0.35">
      <c r="C434" s="225"/>
      <c r="D434" s="223"/>
    </row>
    <row r="435" spans="3:4" x14ac:dyDescent="0.35">
      <c r="C435" s="225"/>
      <c r="D435" s="223"/>
    </row>
    <row r="436" spans="3:4" x14ac:dyDescent="0.35">
      <c r="C436" s="225"/>
      <c r="D436" s="223"/>
    </row>
    <row r="437" spans="3:4" x14ac:dyDescent="0.35">
      <c r="C437" s="225"/>
      <c r="D437" s="223"/>
    </row>
    <row r="438" spans="3:4" x14ac:dyDescent="0.35">
      <c r="C438" s="225"/>
      <c r="D438" s="223"/>
    </row>
    <row r="439" spans="3:4" x14ac:dyDescent="0.35">
      <c r="C439" s="225"/>
      <c r="D439" s="223"/>
    </row>
    <row r="440" spans="3:4" x14ac:dyDescent="0.35">
      <c r="C440" s="225"/>
      <c r="D440" s="223"/>
    </row>
    <row r="441" spans="3:4" x14ac:dyDescent="0.35">
      <c r="C441" s="225"/>
      <c r="D441" s="223"/>
    </row>
    <row r="442" spans="3:4" x14ac:dyDescent="0.35">
      <c r="C442" s="225"/>
      <c r="D442" s="223"/>
    </row>
    <row r="443" spans="3:4" x14ac:dyDescent="0.35">
      <c r="C443" s="225"/>
      <c r="D443" s="223"/>
    </row>
    <row r="444" spans="3:4" x14ac:dyDescent="0.35">
      <c r="C444" s="225"/>
      <c r="D444" s="223"/>
    </row>
    <row r="445" spans="3:4" x14ac:dyDescent="0.35">
      <c r="C445" s="225"/>
      <c r="D445" s="223"/>
    </row>
    <row r="446" spans="3:4" x14ac:dyDescent="0.35">
      <c r="C446" s="225"/>
      <c r="D446" s="223"/>
    </row>
    <row r="447" spans="3:4" x14ac:dyDescent="0.35">
      <c r="C447" s="225"/>
      <c r="D447" s="223"/>
    </row>
    <row r="448" spans="3:4" x14ac:dyDescent="0.35">
      <c r="C448" s="225"/>
      <c r="D448" s="223"/>
    </row>
    <row r="449" spans="3:4" x14ac:dyDescent="0.35">
      <c r="C449" s="225"/>
      <c r="D449" s="223"/>
    </row>
    <row r="450" spans="3:4" x14ac:dyDescent="0.35">
      <c r="C450" s="225"/>
      <c r="D450" s="223"/>
    </row>
    <row r="451" spans="3:4" x14ac:dyDescent="0.35">
      <c r="C451" s="225"/>
      <c r="D451" s="223"/>
    </row>
    <row r="452" spans="3:4" x14ac:dyDescent="0.35">
      <c r="C452" s="225"/>
      <c r="D452" s="223"/>
    </row>
    <row r="453" spans="3:4" x14ac:dyDescent="0.35">
      <c r="C453" s="225"/>
      <c r="D453" s="223"/>
    </row>
    <row r="454" spans="3:4" x14ac:dyDescent="0.35">
      <c r="C454" s="225"/>
      <c r="D454" s="223"/>
    </row>
    <row r="455" spans="3:4" x14ac:dyDescent="0.35">
      <c r="C455" s="225"/>
      <c r="D455" s="223"/>
    </row>
    <row r="456" spans="3:4" x14ac:dyDescent="0.35">
      <c r="C456" s="225"/>
      <c r="D456" s="223"/>
    </row>
    <row r="457" spans="3:4" x14ac:dyDescent="0.35">
      <c r="C457" s="225"/>
      <c r="D457" s="223"/>
    </row>
    <row r="458" spans="3:4" x14ac:dyDescent="0.35">
      <c r="C458" s="225"/>
      <c r="D458" s="223"/>
    </row>
    <row r="459" spans="3:4" x14ac:dyDescent="0.35">
      <c r="C459" s="225"/>
      <c r="D459" s="223"/>
    </row>
    <row r="460" spans="3:4" x14ac:dyDescent="0.35">
      <c r="C460" s="225"/>
      <c r="D460" s="223"/>
    </row>
    <row r="461" spans="3:4" x14ac:dyDescent="0.35">
      <c r="C461" s="225"/>
      <c r="D461" s="223"/>
    </row>
    <row r="462" spans="3:4" x14ac:dyDescent="0.35">
      <c r="C462" s="225"/>
      <c r="D462" s="223"/>
    </row>
    <row r="463" spans="3:4" x14ac:dyDescent="0.35">
      <c r="C463" s="225"/>
      <c r="D463" s="223"/>
    </row>
    <row r="464" spans="3:4" x14ac:dyDescent="0.35">
      <c r="C464" s="225"/>
      <c r="D464" s="223"/>
    </row>
    <row r="465" spans="3:4" x14ac:dyDescent="0.35">
      <c r="C465" s="225"/>
      <c r="D465" s="223"/>
    </row>
    <row r="466" spans="3:4" x14ac:dyDescent="0.35">
      <c r="C466" s="225"/>
      <c r="D466" s="223"/>
    </row>
    <row r="467" spans="3:4" x14ac:dyDescent="0.35">
      <c r="C467" s="225"/>
      <c r="D467" s="223"/>
    </row>
    <row r="468" spans="3:4" x14ac:dyDescent="0.35">
      <c r="C468" s="225"/>
      <c r="D468" s="223"/>
    </row>
    <row r="469" spans="3:4" x14ac:dyDescent="0.35">
      <c r="C469" s="225"/>
      <c r="D469" s="223"/>
    </row>
    <row r="470" spans="3:4" x14ac:dyDescent="0.35">
      <c r="C470" s="225"/>
      <c r="D470" s="223"/>
    </row>
    <row r="471" spans="3:4" x14ac:dyDescent="0.35">
      <c r="C471" s="225"/>
      <c r="D471" s="223"/>
    </row>
    <row r="472" spans="3:4" x14ac:dyDescent="0.35">
      <c r="C472" s="225"/>
      <c r="D472" s="223"/>
    </row>
    <row r="473" spans="3:4" x14ac:dyDescent="0.35">
      <c r="C473" s="225"/>
      <c r="D473" s="223"/>
    </row>
    <row r="474" spans="3:4" x14ac:dyDescent="0.35">
      <c r="C474" s="225"/>
      <c r="D474" s="223"/>
    </row>
    <row r="475" spans="3:4" x14ac:dyDescent="0.35">
      <c r="C475" s="225"/>
      <c r="D475" s="223"/>
    </row>
    <row r="476" spans="3:4" x14ac:dyDescent="0.35">
      <c r="C476" s="225"/>
      <c r="D476" s="223"/>
    </row>
    <row r="477" spans="3:4" x14ac:dyDescent="0.35">
      <c r="C477" s="225"/>
      <c r="D477" s="223"/>
    </row>
    <row r="478" spans="3:4" x14ac:dyDescent="0.35">
      <c r="C478" s="225"/>
      <c r="D478" s="223"/>
    </row>
    <row r="479" spans="3:4" x14ac:dyDescent="0.35">
      <c r="C479" s="225"/>
      <c r="D479" s="223"/>
    </row>
    <row r="480" spans="3:4" x14ac:dyDescent="0.35">
      <c r="C480" s="225"/>
      <c r="D480" s="223"/>
    </row>
    <row r="481" spans="3:4" x14ac:dyDescent="0.35">
      <c r="C481" s="225"/>
      <c r="D481" s="223"/>
    </row>
    <row r="482" spans="3:4" x14ac:dyDescent="0.35">
      <c r="C482" s="225"/>
      <c r="D482" s="223"/>
    </row>
    <row r="483" spans="3:4" x14ac:dyDescent="0.35">
      <c r="C483" s="225"/>
      <c r="D483" s="223"/>
    </row>
    <row r="484" spans="3:4" x14ac:dyDescent="0.35">
      <c r="C484" s="225"/>
      <c r="D484" s="223"/>
    </row>
    <row r="485" spans="3:4" x14ac:dyDescent="0.35">
      <c r="C485" s="225"/>
      <c r="D485" s="223"/>
    </row>
    <row r="486" spans="3:4" x14ac:dyDescent="0.35">
      <c r="C486" s="225"/>
      <c r="D486" s="223"/>
    </row>
    <row r="487" spans="3:4" x14ac:dyDescent="0.35">
      <c r="C487" s="225"/>
      <c r="D487" s="223"/>
    </row>
    <row r="488" spans="3:4" x14ac:dyDescent="0.35">
      <c r="C488" s="225"/>
      <c r="D488" s="223"/>
    </row>
    <row r="489" spans="3:4" x14ac:dyDescent="0.35">
      <c r="C489" s="225"/>
      <c r="D489" s="223"/>
    </row>
    <row r="490" spans="3:4" x14ac:dyDescent="0.35">
      <c r="C490" s="225"/>
      <c r="D490" s="223"/>
    </row>
    <row r="491" spans="3:4" x14ac:dyDescent="0.35">
      <c r="C491" s="225"/>
      <c r="D491" s="223"/>
    </row>
    <row r="492" spans="3:4" x14ac:dyDescent="0.35">
      <c r="C492" s="225"/>
      <c r="D492" s="223"/>
    </row>
    <row r="493" spans="3:4" x14ac:dyDescent="0.35">
      <c r="C493" s="225"/>
      <c r="D493" s="223"/>
    </row>
    <row r="494" spans="3:4" x14ac:dyDescent="0.35">
      <c r="C494" s="225"/>
      <c r="D494" s="223"/>
    </row>
    <row r="495" spans="3:4" x14ac:dyDescent="0.35">
      <c r="C495" s="225"/>
      <c r="D495" s="223"/>
    </row>
    <row r="496" spans="3:4" x14ac:dyDescent="0.35">
      <c r="C496" s="225"/>
      <c r="D496" s="223"/>
    </row>
    <row r="497" spans="3:4" x14ac:dyDescent="0.35">
      <c r="C497" s="225"/>
      <c r="D497" s="223"/>
    </row>
    <row r="498" spans="3:4" x14ac:dyDescent="0.35">
      <c r="C498" s="225"/>
      <c r="D498" s="223"/>
    </row>
    <row r="499" spans="3:4" x14ac:dyDescent="0.35">
      <c r="C499" s="225"/>
      <c r="D499" s="223"/>
    </row>
    <row r="500" spans="3:4" x14ac:dyDescent="0.35">
      <c r="C500" s="225"/>
      <c r="D500" s="223"/>
    </row>
    <row r="501" spans="3:4" x14ac:dyDescent="0.35">
      <c r="C501" s="225"/>
      <c r="D501" s="223"/>
    </row>
    <row r="502" spans="3:4" x14ac:dyDescent="0.35">
      <c r="C502" s="225"/>
      <c r="D502" s="223"/>
    </row>
    <row r="503" spans="3:4" x14ac:dyDescent="0.35">
      <c r="C503" s="225"/>
      <c r="D503" s="223"/>
    </row>
    <row r="504" spans="3:4" x14ac:dyDescent="0.35">
      <c r="C504" s="225"/>
      <c r="D504" s="223"/>
    </row>
    <row r="505" spans="3:4" x14ac:dyDescent="0.35">
      <c r="C505" s="225"/>
      <c r="D505" s="223"/>
    </row>
    <row r="506" spans="3:4" x14ac:dyDescent="0.35">
      <c r="C506" s="225"/>
      <c r="D506" s="223"/>
    </row>
    <row r="507" spans="3:4" x14ac:dyDescent="0.35">
      <c r="C507" s="225"/>
      <c r="D507" s="223"/>
    </row>
    <row r="508" spans="3:4" x14ac:dyDescent="0.35">
      <c r="C508" s="225"/>
      <c r="D508" s="223"/>
    </row>
    <row r="509" spans="3:4" x14ac:dyDescent="0.35">
      <c r="C509" s="225"/>
      <c r="D509" s="223"/>
    </row>
    <row r="510" spans="3:4" x14ac:dyDescent="0.35">
      <c r="C510" s="225"/>
      <c r="D510" s="223"/>
    </row>
    <row r="511" spans="3:4" x14ac:dyDescent="0.35">
      <c r="C511" s="225"/>
      <c r="D511" s="223"/>
    </row>
    <row r="512" spans="3:4" x14ac:dyDescent="0.35">
      <c r="C512" s="225"/>
      <c r="D512" s="223"/>
    </row>
    <row r="513" spans="3:4" x14ac:dyDescent="0.35">
      <c r="C513" s="225"/>
      <c r="D513" s="223"/>
    </row>
    <row r="514" spans="3:4" x14ac:dyDescent="0.35">
      <c r="C514" s="225"/>
      <c r="D514" s="223"/>
    </row>
    <row r="515" spans="3:4" x14ac:dyDescent="0.35">
      <c r="C515" s="225"/>
      <c r="D515" s="223"/>
    </row>
    <row r="516" spans="3:4" x14ac:dyDescent="0.35">
      <c r="C516" s="225"/>
      <c r="D516" s="223"/>
    </row>
    <row r="517" spans="3:4" x14ac:dyDescent="0.35">
      <c r="C517" s="225"/>
      <c r="D517" s="223"/>
    </row>
    <row r="518" spans="3:4" x14ac:dyDescent="0.35">
      <c r="C518" s="225"/>
      <c r="D518" s="223"/>
    </row>
    <row r="519" spans="3:4" x14ac:dyDescent="0.35">
      <c r="C519" s="225"/>
      <c r="D519" s="223"/>
    </row>
    <row r="520" spans="3:4" x14ac:dyDescent="0.35">
      <c r="C520" s="225"/>
      <c r="D520" s="223"/>
    </row>
    <row r="521" spans="3:4" x14ac:dyDescent="0.35">
      <c r="C521" s="225"/>
      <c r="D521" s="223"/>
    </row>
    <row r="522" spans="3:4" x14ac:dyDescent="0.35">
      <c r="C522" s="225"/>
      <c r="D522" s="223"/>
    </row>
    <row r="523" spans="3:4" x14ac:dyDescent="0.35">
      <c r="C523" s="225"/>
      <c r="D523" s="223"/>
    </row>
    <row r="524" spans="3:4" x14ac:dyDescent="0.35">
      <c r="C524" s="225"/>
      <c r="D524" s="223"/>
    </row>
    <row r="525" spans="3:4" x14ac:dyDescent="0.35">
      <c r="C525" s="225"/>
      <c r="D525" s="223"/>
    </row>
    <row r="526" spans="3:4" x14ac:dyDescent="0.35">
      <c r="C526" s="225"/>
      <c r="D526" s="223"/>
    </row>
    <row r="527" spans="3:4" x14ac:dyDescent="0.35">
      <c r="C527" s="225"/>
      <c r="D527" s="223"/>
    </row>
    <row r="528" spans="3:4" x14ac:dyDescent="0.35">
      <c r="C528" s="225"/>
      <c r="D528" s="223"/>
    </row>
    <row r="529" spans="3:4" x14ac:dyDescent="0.35">
      <c r="C529" s="225"/>
      <c r="D529" s="223"/>
    </row>
    <row r="530" spans="3:4" x14ac:dyDescent="0.35">
      <c r="C530" s="225"/>
      <c r="D530" s="223"/>
    </row>
    <row r="531" spans="3:4" x14ac:dyDescent="0.35">
      <c r="C531" s="225"/>
      <c r="D531" s="223"/>
    </row>
    <row r="532" spans="3:4" x14ac:dyDescent="0.35">
      <c r="C532" s="225"/>
      <c r="D532" s="223"/>
    </row>
    <row r="533" spans="3:4" x14ac:dyDescent="0.35">
      <c r="C533" s="225"/>
      <c r="D533" s="223"/>
    </row>
    <row r="534" spans="3:4" x14ac:dyDescent="0.35">
      <c r="C534" s="225"/>
      <c r="D534" s="223"/>
    </row>
    <row r="535" spans="3:4" x14ac:dyDescent="0.35">
      <c r="C535" s="225"/>
      <c r="D535" s="223"/>
    </row>
    <row r="536" spans="3:4" x14ac:dyDescent="0.35">
      <c r="C536" s="225"/>
      <c r="D536" s="223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27</vt:i4>
      </vt:variant>
    </vt:vector>
  </HeadingPairs>
  <TitlesOfParts>
    <vt:vector size="38" baseType="lpstr">
      <vt:lpstr>SprintGoal</vt:lpstr>
      <vt:lpstr>Sprint</vt:lpstr>
      <vt:lpstr>Analysis</vt:lpstr>
      <vt:lpstr>Team Roster</vt:lpstr>
      <vt:lpstr>Capacity</vt:lpstr>
      <vt:lpstr>Blocklist</vt:lpstr>
      <vt:lpstr>IRQ's</vt:lpstr>
      <vt:lpstr>Retrospective</vt:lpstr>
      <vt:lpstr>GeneralBacklog</vt:lpstr>
      <vt:lpstr>individualCapacity</vt:lpstr>
      <vt:lpstr>KanbanBoard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Capacity!Druckbereich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Johannes Winter</cp:lastModifiedBy>
  <cp:revision>1</cp:revision>
  <cp:lastPrinted>2016-02-23T08:00:33Z</cp:lastPrinted>
  <dcterms:created xsi:type="dcterms:W3CDTF">2005-01-26T21:50:47Z</dcterms:created>
  <dcterms:modified xsi:type="dcterms:W3CDTF">2026-04-16T13:37:47Z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MSIP_Label_3989f05f-edc3-4af3-b0a2-5c6712921edb_Enabled">
    <vt:lpwstr>true</vt:lpwstr>
  </property>
  <property fmtid="{D5CDD505-2E9C-101B-9397-08002B2CF9AE}" pid="6" name="MSIP_Label_3989f05f-edc3-4af3-b0a2-5c6712921edb_SetDate">
    <vt:lpwstr>2021-06-18T10:01:24Z</vt:lpwstr>
  </property>
  <property fmtid="{D5CDD505-2E9C-101B-9397-08002B2CF9AE}" pid="7" name="MSIP_Label_3989f05f-edc3-4af3-b0a2-5c6712921edb_Method">
    <vt:lpwstr>Privileged</vt:lpwstr>
  </property>
  <property fmtid="{D5CDD505-2E9C-101B-9397-08002B2CF9AE}" pid="8" name="MSIP_Label_3989f05f-edc3-4af3-b0a2-5c6712921edb_Name">
    <vt:lpwstr>ZF Confidential Sub_2</vt:lpwstr>
  </property>
  <property fmtid="{D5CDD505-2E9C-101B-9397-08002B2CF9AE}" pid="9" name="MSIP_Label_3989f05f-edc3-4af3-b0a2-5c6712921edb_SiteId">
    <vt:lpwstr>eb70b763-b6d7-4486-8555-8831709a784e</vt:lpwstr>
  </property>
  <property fmtid="{D5CDD505-2E9C-101B-9397-08002B2CF9AE}" pid="10" name="MSIP_Label_3989f05f-edc3-4af3-b0a2-5c6712921edb_ActionId">
    <vt:lpwstr>824bc55a-ab44-420a-9fbe-b7d8bfd1d224</vt:lpwstr>
  </property>
  <property fmtid="{D5CDD505-2E9C-101B-9397-08002B2CF9AE}" pid="11" name="MSIP_Label_3989f05f-edc3-4af3-b0a2-5c6712921edb_ContentBits">
    <vt:lpwstr>1</vt:lpwstr>
  </property>
</Properties>
</file>